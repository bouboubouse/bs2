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HG2\UserGal1\高次ギリシャ\bs2\"/>
    </mc:Choice>
  </mc:AlternateContent>
  <bookViews>
    <workbookView xWindow="7635" yWindow="-15" windowWidth="7680" windowHeight="9435"/>
  </bookViews>
  <sheets>
    <sheet name="sample" sheetId="1" r:id="rId1"/>
  </sheets>
  <functionGroups builtInGroupCount="18"/>
  <calcPr calcId="152511" refMode="R1C1"/>
</workbook>
</file>

<file path=xl/calcChain.xml><?xml version="1.0" encoding="utf-8"?>
<calcChain xmlns="http://schemas.openxmlformats.org/spreadsheetml/2006/main">
  <c r="B59" i="1" l="1"/>
  <c r="B35" i="1"/>
  <c r="B11" i="1"/>
  <c r="E5" i="1"/>
  <c r="D5" i="1"/>
  <c r="C5" i="1"/>
  <c r="F37" i="1" l="1"/>
  <c r="F35" i="1"/>
  <c r="F42" i="1"/>
  <c r="F54" i="1"/>
  <c r="F26" i="1"/>
  <c r="F20" i="1"/>
  <c r="F33" i="1"/>
  <c r="F19" i="1"/>
  <c r="F61" i="1"/>
  <c r="F81" i="1"/>
  <c r="F73" i="1"/>
  <c r="F82" i="1"/>
  <c r="J37" i="1"/>
  <c r="L35" i="1"/>
  <c r="J42" i="1"/>
  <c r="J54" i="1"/>
  <c r="H26" i="1"/>
  <c r="I20" i="1"/>
  <c r="I33" i="1"/>
  <c r="F39" i="1"/>
  <c r="F51" i="1"/>
  <c r="F53" i="1"/>
  <c r="F50" i="1"/>
  <c r="F11" i="1"/>
  <c r="F13" i="1"/>
  <c r="F17" i="1"/>
  <c r="I17" i="1" s="1"/>
  <c r="F15" i="1"/>
  <c r="F75" i="1"/>
  <c r="F79" i="1"/>
  <c r="F59" i="1"/>
  <c r="F74" i="1"/>
  <c r="L37" i="1"/>
  <c r="G39" i="1"/>
  <c r="F55" i="1"/>
  <c r="F47" i="1"/>
  <c r="H47" i="1" s="1"/>
  <c r="F56" i="1"/>
  <c r="K56" i="1" s="1"/>
  <c r="F52" i="1"/>
  <c r="M52" i="1" s="1"/>
  <c r="F25" i="1"/>
  <c r="G25" i="1" s="1"/>
  <c r="F18" i="1"/>
  <c r="G18" i="1" s="1"/>
  <c r="F28" i="1"/>
  <c r="F21" i="1"/>
  <c r="F76" i="1"/>
  <c r="F70" i="1"/>
  <c r="F80" i="1"/>
  <c r="F66" i="1"/>
  <c r="K37" i="1"/>
  <c r="M39" i="1"/>
  <c r="K55" i="1"/>
  <c r="G55" i="1"/>
  <c r="N35" i="1"/>
  <c r="K51" i="1"/>
  <c r="N47" i="1"/>
  <c r="K47" i="1"/>
  <c r="N42" i="1"/>
  <c r="H53" i="1"/>
  <c r="I56" i="1"/>
  <c r="H56" i="1"/>
  <c r="K54" i="1"/>
  <c r="M50" i="1"/>
  <c r="I52" i="1"/>
  <c r="N52" i="1"/>
  <c r="I26" i="1"/>
  <c r="N11" i="1"/>
  <c r="I25" i="1"/>
  <c r="J25" i="1"/>
  <c r="K20" i="1"/>
  <c r="K13" i="1"/>
  <c r="M18" i="1"/>
  <c r="J18" i="1"/>
  <c r="J33" i="1"/>
  <c r="L17" i="1"/>
  <c r="H28" i="1"/>
  <c r="G28" i="1"/>
  <c r="I19" i="1"/>
  <c r="I15" i="1"/>
  <c r="I21" i="1"/>
  <c r="N21" i="1"/>
  <c r="K61" i="1"/>
  <c r="H75" i="1"/>
  <c r="N76" i="1"/>
  <c r="K76" i="1"/>
  <c r="H81" i="1"/>
  <c r="N79" i="1"/>
  <c r="I70" i="1"/>
  <c r="H70" i="1"/>
  <c r="M73" i="1"/>
  <c r="G59" i="1"/>
  <c r="H80" i="1"/>
  <c r="J80" i="1"/>
  <c r="J82" i="1"/>
  <c r="I74" i="1"/>
  <c r="K66" i="1"/>
  <c r="M66" i="1"/>
  <c r="F40" i="1"/>
  <c r="F58" i="1"/>
  <c r="F41" i="1"/>
  <c r="F48" i="1"/>
  <c r="F32" i="1"/>
  <c r="F29" i="1"/>
  <c r="F16" i="1"/>
  <c r="F12" i="1"/>
  <c r="H12" i="1" s="1"/>
  <c r="F67" i="1"/>
  <c r="G67" i="1" s="1"/>
  <c r="F62" i="1"/>
  <c r="J62" i="1" s="1"/>
  <c r="F60" i="1"/>
  <c r="I60" i="1" s="1"/>
  <c r="F64" i="1"/>
  <c r="G64" i="1" s="1"/>
  <c r="N40" i="1"/>
  <c r="L40" i="1"/>
  <c r="M37" i="1"/>
  <c r="H37" i="1"/>
  <c r="H39" i="1"/>
  <c r="F57" i="1"/>
  <c r="F43" i="1"/>
  <c r="F46" i="1"/>
  <c r="F45" i="1"/>
  <c r="F30" i="1"/>
  <c r="F23" i="1"/>
  <c r="F34" i="1"/>
  <c r="F14" i="1"/>
  <c r="H14" i="1" s="1"/>
  <c r="F78" i="1"/>
  <c r="L78" i="1" s="1"/>
  <c r="F77" i="1"/>
  <c r="K77" i="1" s="1"/>
  <c r="F71" i="1"/>
  <c r="L71" i="1" s="1"/>
  <c r="F65" i="1"/>
  <c r="J65" i="1" s="1"/>
  <c r="J40" i="1"/>
  <c r="G40" i="1"/>
  <c r="J57" i="1"/>
  <c r="G37" i="1"/>
  <c r="N37" i="1"/>
  <c r="N39" i="1"/>
  <c r="L55" i="1"/>
  <c r="M58" i="1"/>
  <c r="J58" i="1"/>
  <c r="K43" i="1"/>
  <c r="H35" i="1"/>
  <c r="K35" i="1"/>
  <c r="H51" i="1"/>
  <c r="M47" i="1"/>
  <c r="M41" i="1"/>
  <c r="L41" i="1"/>
  <c r="G46" i="1"/>
  <c r="L42" i="1"/>
  <c r="K42" i="1"/>
  <c r="I53" i="1"/>
  <c r="L56" i="1"/>
  <c r="G48" i="1"/>
  <c r="K48" i="1"/>
  <c r="L45" i="1"/>
  <c r="L54" i="1"/>
  <c r="H54" i="1"/>
  <c r="G50" i="1"/>
  <c r="G52" i="1"/>
  <c r="L32" i="1"/>
  <c r="H32" i="1"/>
  <c r="N30" i="1"/>
  <c r="K26" i="1"/>
  <c r="N26" i="1"/>
  <c r="G11" i="1"/>
  <c r="M25" i="1"/>
  <c r="H29" i="1"/>
  <c r="N29" i="1"/>
  <c r="K23" i="1"/>
  <c r="M20" i="1"/>
  <c r="H20" i="1"/>
  <c r="G13" i="1"/>
  <c r="L18" i="1"/>
  <c r="K16" i="1"/>
  <c r="N16" i="1"/>
  <c r="H34" i="1"/>
  <c r="M33" i="1"/>
  <c r="L33" i="1"/>
  <c r="J17" i="1"/>
  <c r="I28" i="1"/>
  <c r="M12" i="1"/>
  <c r="K12" i="1"/>
  <c r="K14" i="1"/>
  <c r="G19" i="1"/>
  <c r="M19" i="1"/>
  <c r="M15" i="1"/>
  <c r="G21" i="1"/>
  <c r="H67" i="1"/>
  <c r="J67" i="1"/>
  <c r="G78" i="1"/>
  <c r="J61" i="1"/>
  <c r="M61" i="1"/>
  <c r="I75" i="1"/>
  <c r="I76" i="1"/>
  <c r="I62" i="1"/>
  <c r="L62" i="1"/>
  <c r="H77" i="1"/>
  <c r="L81" i="1"/>
  <c r="M81" i="1"/>
  <c r="M79" i="1"/>
  <c r="N70" i="1"/>
  <c r="K60" i="1"/>
  <c r="J60" i="1"/>
  <c r="I71" i="1"/>
  <c r="H73" i="1"/>
  <c r="L73" i="1"/>
  <c r="H59" i="1"/>
  <c r="M80" i="1"/>
  <c r="J64" i="1"/>
  <c r="K64" i="1"/>
  <c r="N65" i="1"/>
  <c r="M82" i="1"/>
  <c r="I82" i="1"/>
  <c r="K74" i="1"/>
  <c r="N66" i="1"/>
  <c r="F38" i="1"/>
  <c r="F49" i="1"/>
  <c r="F44" i="1"/>
  <c r="F36" i="1"/>
  <c r="F22" i="1"/>
  <c r="F24" i="1"/>
  <c r="F27" i="1"/>
  <c r="F31" i="1"/>
  <c r="F72" i="1"/>
  <c r="F68" i="1"/>
  <c r="F69" i="1"/>
  <c r="F63" i="1"/>
  <c r="M40" i="1"/>
  <c r="G57" i="1"/>
  <c r="L57" i="1"/>
  <c r="H38" i="1"/>
  <c r="I37" i="1"/>
  <c r="K39" i="1"/>
  <c r="L39" i="1"/>
  <c r="H58" i="1"/>
  <c r="L49" i="1"/>
  <c r="I51" i="1"/>
  <c r="G47" i="1"/>
  <c r="N46" i="1"/>
  <c r="K44" i="1"/>
  <c r="G53" i="1"/>
  <c r="N56" i="1"/>
  <c r="N45" i="1"/>
  <c r="I36" i="1"/>
  <c r="N50" i="1"/>
  <c r="H52" i="1"/>
  <c r="H30" i="1"/>
  <c r="H22" i="1"/>
  <c r="K11" i="1"/>
  <c r="K25" i="1"/>
  <c r="J23" i="1"/>
  <c r="L24" i="1"/>
  <c r="M13" i="1"/>
  <c r="H18" i="1"/>
  <c r="K34" i="1"/>
  <c r="N27" i="1"/>
  <c r="G17" i="1"/>
  <c r="K28" i="1"/>
  <c r="L12" i="1"/>
  <c r="L14" i="1"/>
  <c r="L31" i="1"/>
  <c r="L15" i="1"/>
  <c r="M21" i="1"/>
  <c r="I67" i="1"/>
  <c r="I78" i="1"/>
  <c r="I72" i="1"/>
  <c r="N61" i="1"/>
  <c r="N75" i="1"/>
  <c r="M76" i="1"/>
  <c r="I77" i="1"/>
  <c r="K68" i="1"/>
  <c r="K81" i="1"/>
  <c r="L79" i="1"/>
  <c r="J70" i="1"/>
  <c r="N60" i="1"/>
  <c r="H71" i="1"/>
  <c r="I69" i="1"/>
  <c r="M59" i="1"/>
  <c r="K80" i="1"/>
  <c r="L64" i="1"/>
  <c r="L65" i="1"/>
  <c r="H63" i="1"/>
  <c r="H82" i="1"/>
  <c r="L74" i="1"/>
  <c r="J66" i="1"/>
  <c r="I43" i="1"/>
  <c r="I35" i="1"/>
  <c r="J51" i="1"/>
  <c r="K41" i="1"/>
  <c r="L46" i="1"/>
  <c r="I42" i="1"/>
  <c r="N53" i="1"/>
  <c r="L48" i="1"/>
  <c r="J45" i="1"/>
  <c r="M54" i="1"/>
  <c r="J50" i="1"/>
  <c r="M32" i="1"/>
  <c r="M30" i="1"/>
  <c r="J26" i="1"/>
  <c r="H11" i="1"/>
  <c r="L29" i="1"/>
  <c r="N23" i="1"/>
  <c r="L20" i="1"/>
  <c r="N13" i="1"/>
  <c r="H16" i="1"/>
  <c r="N34" i="1"/>
  <c r="G33" i="1"/>
  <c r="N17" i="1"/>
  <c r="N28" i="1"/>
  <c r="G12" i="1"/>
  <c r="I14" i="1"/>
  <c r="N19" i="1"/>
  <c r="J15" i="1"/>
  <c r="J21" i="1"/>
  <c r="M67" i="1"/>
  <c r="M78" i="1"/>
  <c r="L72" i="1"/>
  <c r="I61" i="1"/>
  <c r="L75" i="1"/>
  <c r="M62" i="1"/>
  <c r="N77" i="1"/>
  <c r="M68" i="1"/>
  <c r="N81" i="1"/>
  <c r="I79" i="1"/>
  <c r="G70" i="1"/>
  <c r="H60" i="1"/>
  <c r="M71" i="1"/>
  <c r="K73" i="1"/>
  <c r="K59" i="1"/>
  <c r="I80" i="1"/>
  <c r="M64" i="1"/>
  <c r="G65" i="1"/>
  <c r="I63" i="1"/>
  <c r="N82" i="1"/>
  <c r="H74" i="1"/>
  <c r="I55" i="1"/>
  <c r="N43" i="1"/>
  <c r="G35" i="1"/>
  <c r="N51" i="1"/>
  <c r="J41" i="1"/>
  <c r="I46" i="1"/>
  <c r="G42" i="1"/>
  <c r="K53" i="1"/>
  <c r="N48" i="1"/>
  <c r="G45" i="1"/>
  <c r="G54" i="1"/>
  <c r="I50" i="1"/>
  <c r="K32" i="1"/>
  <c r="G30" i="1"/>
  <c r="M26" i="1"/>
  <c r="L11" i="1"/>
  <c r="K29" i="1"/>
  <c r="M23" i="1"/>
  <c r="J20" i="1"/>
  <c r="I13" i="1"/>
  <c r="L16" i="1"/>
  <c r="J34" i="1"/>
  <c r="H33" i="1"/>
  <c r="H17" i="1"/>
  <c r="L28" i="1"/>
  <c r="M14" i="1"/>
  <c r="I47" i="1"/>
  <c r="H27" i="1"/>
  <c r="K15" i="1"/>
  <c r="G68" i="1"/>
  <c r="N71" i="1"/>
  <c r="K63" i="1"/>
  <c r="L66" i="1"/>
  <c r="G24" i="1"/>
  <c r="J14" i="1"/>
  <c r="H78" i="1"/>
  <c r="G62" i="1"/>
  <c r="M60" i="1"/>
  <c r="N59" i="1"/>
  <c r="M74" i="1"/>
  <c r="G49" i="1"/>
  <c r="J47" i="1"/>
  <c r="J44" i="1"/>
  <c r="J56" i="1"/>
  <c r="N36" i="1"/>
  <c r="L52" i="1"/>
  <c r="I22" i="1"/>
  <c r="N25" i="1"/>
  <c r="H24" i="1"/>
  <c r="I18" i="1"/>
  <c r="G27" i="1"/>
  <c r="J28" i="1"/>
  <c r="G14" i="1"/>
  <c r="K19" i="1"/>
  <c r="G15" i="1"/>
  <c r="K67" i="1"/>
  <c r="M72" i="1"/>
  <c r="K75" i="1"/>
  <c r="G76" i="1"/>
  <c r="M77" i="1"/>
  <c r="H68" i="1"/>
  <c r="J79" i="1"/>
  <c r="G60" i="1"/>
  <c r="H69" i="1"/>
  <c r="J73" i="1"/>
  <c r="G80" i="1"/>
  <c r="H65" i="1"/>
  <c r="J63" i="1"/>
  <c r="J74" i="1"/>
  <c r="N49" i="1"/>
  <c r="L47" i="1"/>
  <c r="N44" i="1"/>
  <c r="G56" i="1"/>
  <c r="J36" i="1"/>
  <c r="K52" i="1"/>
  <c r="G22" i="1"/>
  <c r="H25" i="1"/>
  <c r="K24" i="1"/>
  <c r="K18" i="1"/>
  <c r="L27" i="1"/>
  <c r="M28" i="1"/>
  <c r="N14" i="1"/>
  <c r="J19" i="1"/>
  <c r="N15" i="1"/>
  <c r="L67" i="1"/>
  <c r="N72" i="1"/>
  <c r="G75" i="1"/>
  <c r="H76" i="1"/>
  <c r="J77" i="1"/>
  <c r="G81" i="1"/>
  <c r="G79" i="1"/>
  <c r="L60" i="1"/>
  <c r="K69" i="1"/>
  <c r="I73" i="1"/>
  <c r="L80" i="1"/>
  <c r="K65" i="1"/>
  <c r="L82" i="1"/>
  <c r="G74" i="1"/>
  <c r="H55" i="1"/>
  <c r="J35" i="1"/>
  <c r="N41" i="1"/>
  <c r="H42" i="1"/>
  <c r="H48" i="1"/>
  <c r="I54" i="1"/>
  <c r="J32" i="1"/>
  <c r="L26" i="1"/>
  <c r="G29" i="1"/>
  <c r="N20" i="1"/>
  <c r="G16" i="1"/>
  <c r="K33" i="1"/>
  <c r="I12" i="1"/>
  <c r="J31" i="1"/>
  <c r="L19" i="1"/>
  <c r="H21" i="1"/>
  <c r="K78" i="1"/>
  <c r="J72" i="1"/>
  <c r="J75" i="1"/>
  <c r="K62" i="1"/>
  <c r="L77" i="1"/>
  <c r="I81" i="1"/>
  <c r="L70" i="1"/>
  <c r="K71" i="1"/>
  <c r="J69" i="1"/>
  <c r="J59" i="1"/>
  <c r="N80" i="1"/>
  <c r="M65" i="1"/>
  <c r="K82" i="1"/>
  <c r="G66" i="1"/>
  <c r="I58" i="1"/>
  <c r="M35" i="1"/>
  <c r="H41" i="1"/>
  <c r="M42" i="1"/>
  <c r="M48" i="1"/>
  <c r="N54" i="1"/>
  <c r="N32" i="1"/>
  <c r="G26" i="1"/>
  <c r="J29" i="1"/>
  <c r="G20" i="1"/>
  <c r="I16" i="1"/>
  <c r="N33" i="1"/>
  <c r="J12" i="1"/>
  <c r="I31" i="1"/>
  <c r="H19" i="1"/>
  <c r="L21" i="1"/>
  <c r="N78" i="1"/>
  <c r="H61" i="1"/>
  <c r="M75" i="1"/>
  <c r="H62" i="1"/>
  <c r="G77" i="1"/>
  <c r="J81" i="1"/>
  <c r="K70" i="1"/>
  <c r="J71" i="1"/>
  <c r="L69" i="1"/>
  <c r="I59" i="1"/>
  <c r="H64" i="1"/>
  <c r="I65" i="1"/>
  <c r="G82" i="1"/>
  <c r="I66" i="1"/>
  <c r="L58" i="1"/>
  <c r="G51" i="1"/>
  <c r="H46" i="1"/>
  <c r="L53" i="1"/>
  <c r="K45" i="1"/>
  <c r="L50" i="1"/>
  <c r="J30" i="1"/>
  <c r="I11" i="1"/>
  <c r="L23" i="1"/>
  <c r="H13" i="1"/>
  <c r="M34" i="1"/>
  <c r="K17" i="1"/>
  <c r="N12" i="1"/>
  <c r="K31" i="1"/>
  <c r="H15" i="1"/>
  <c r="K21" i="1"/>
  <c r="J78" i="1"/>
  <c r="L61" i="1"/>
  <c r="L76" i="1"/>
  <c r="N62" i="1"/>
  <c r="L68" i="1"/>
  <c r="K79" i="1"/>
  <c r="M70" i="1"/>
  <c r="G71" i="1"/>
  <c r="G73" i="1"/>
  <c r="L59" i="1"/>
  <c r="N64" i="1"/>
  <c r="G63" i="1"/>
  <c r="N74" i="1"/>
  <c r="J43" i="1"/>
  <c r="H44" i="1"/>
  <c r="M56" i="1"/>
  <c r="H36" i="1"/>
  <c r="J52" i="1"/>
  <c r="M22" i="1"/>
  <c r="L25" i="1"/>
  <c r="N18" i="1"/>
  <c r="M17" i="1"/>
  <c r="N31" i="1"/>
  <c r="N67" i="1"/>
  <c r="G61" i="1"/>
  <c r="J76" i="1"/>
  <c r="H79" i="1"/>
  <c r="N73" i="1"/>
  <c r="I64" i="1"/>
  <c r="H66" i="1"/>
  <c r="I39" i="1"/>
  <c r="J39" i="1"/>
  <c r="L51" i="1"/>
  <c r="M51" i="1"/>
  <c r="M53" i="1"/>
  <c r="J53" i="1"/>
  <c r="K50" i="1"/>
  <c r="H50" i="1"/>
  <c r="J11" i="1"/>
  <c r="M11" i="1"/>
  <c r="J13" i="1"/>
  <c r="L13" i="1"/>
  <c r="M55" i="1"/>
  <c r="J55" i="1"/>
  <c r="N55" i="1"/>
  <c r="K40" i="1"/>
  <c r="H40" i="1"/>
  <c r="I40" i="1"/>
  <c r="N58" i="1"/>
  <c r="K58" i="1"/>
  <c r="G58" i="1"/>
  <c r="G41" i="1"/>
  <c r="I41" i="1"/>
  <c r="I48" i="1"/>
  <c r="J48" i="1"/>
  <c r="G32" i="1"/>
  <c r="I32" i="1"/>
  <c r="I29" i="1"/>
  <c r="M29" i="1"/>
  <c r="J16" i="1"/>
  <c r="M16" i="1"/>
  <c r="N57" i="1"/>
  <c r="H57" i="1"/>
  <c r="I57" i="1"/>
  <c r="K57" i="1"/>
  <c r="M57" i="1"/>
  <c r="G43" i="1"/>
  <c r="L43" i="1"/>
  <c r="H43" i="1"/>
  <c r="M43" i="1"/>
  <c r="M46" i="1"/>
  <c r="J46" i="1"/>
  <c r="K46" i="1"/>
  <c r="H45" i="1"/>
  <c r="I45" i="1"/>
  <c r="M45" i="1"/>
  <c r="L30" i="1"/>
  <c r="I30" i="1"/>
  <c r="K30" i="1"/>
  <c r="I23" i="1"/>
  <c r="H23" i="1"/>
  <c r="G23" i="1"/>
  <c r="G34" i="1"/>
  <c r="I34" i="1"/>
  <c r="L34" i="1"/>
  <c r="G38" i="1"/>
  <c r="N38" i="1"/>
  <c r="I38" i="1"/>
  <c r="K38" i="1"/>
  <c r="L38" i="1"/>
  <c r="M38" i="1"/>
  <c r="J38" i="1"/>
  <c r="M49" i="1"/>
  <c r="I49" i="1"/>
  <c r="K49" i="1"/>
  <c r="H49" i="1"/>
  <c r="J49" i="1"/>
  <c r="M44" i="1"/>
  <c r="I44" i="1"/>
  <c r="L44" i="1"/>
  <c r="G44" i="1"/>
  <c r="L36" i="1"/>
  <c r="M36" i="1"/>
  <c r="G36" i="1"/>
  <c r="K36" i="1"/>
  <c r="L22" i="1"/>
  <c r="J22" i="1"/>
  <c r="K22" i="1"/>
  <c r="N22" i="1"/>
  <c r="N24" i="1"/>
  <c r="I24" i="1"/>
  <c r="M24" i="1"/>
  <c r="J24" i="1"/>
  <c r="I27" i="1"/>
  <c r="M27" i="1"/>
  <c r="K27" i="1"/>
  <c r="J27" i="1"/>
  <c r="M31" i="1"/>
  <c r="H31" i="1"/>
  <c r="G31" i="1"/>
  <c r="G72" i="1"/>
  <c r="K72" i="1"/>
  <c r="H72" i="1"/>
  <c r="N68" i="1"/>
  <c r="J68" i="1"/>
  <c r="I68" i="1"/>
  <c r="G69" i="1"/>
  <c r="M69" i="1"/>
  <c r="N69" i="1"/>
  <c r="M63" i="1"/>
  <c r="N63" i="1"/>
  <c r="L63" i="1"/>
</calcChain>
</file>

<file path=xl/sharedStrings.xml><?xml version="1.0" encoding="utf-8"?>
<sst xmlns="http://schemas.openxmlformats.org/spreadsheetml/2006/main" count="19" uniqueCount="19">
  <si>
    <t>call</t>
  </si>
  <si>
    <t>put</t>
  </si>
  <si>
    <t>gamma</t>
    <phoneticPr fontId="1"/>
  </si>
  <si>
    <t>theta</t>
    <phoneticPr fontId="1"/>
  </si>
  <si>
    <t>vega</t>
    <phoneticPr fontId="1"/>
  </si>
  <si>
    <t>vomma</t>
    <phoneticPr fontId="1"/>
  </si>
  <si>
    <t>vanna</t>
    <phoneticPr fontId="1"/>
  </si>
  <si>
    <t>put</t>
    <phoneticPr fontId="1"/>
  </si>
  <si>
    <t>call</t>
    <phoneticPr fontId="1"/>
  </si>
  <si>
    <t>delta</t>
    <phoneticPr fontId="1"/>
  </si>
  <si>
    <t>sq1</t>
    <phoneticPr fontId="1"/>
  </si>
  <si>
    <t>sq2</t>
    <phoneticPr fontId="1"/>
  </si>
  <si>
    <t>sq3</t>
    <phoneticPr fontId="1"/>
  </si>
  <si>
    <t>t</t>
    <phoneticPr fontId="1"/>
  </si>
  <si>
    <t>s</t>
    <phoneticPr fontId="1"/>
  </si>
  <si>
    <t>k</t>
    <phoneticPr fontId="1"/>
  </si>
  <si>
    <t>call</t>
    <phoneticPr fontId="1"/>
  </si>
  <si>
    <t>put</t>
    <phoneticPr fontId="1"/>
  </si>
  <si>
    <t>iv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</si>
</sst>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_ "/>
    <numFmt numFmtId="177" formatCode="0.00_);[Red]\(0.00\)"/>
    <numFmt numFmtId="178" formatCode="0.000_ ;[Red]\-0.000\ "/>
    <numFmt numFmtId="179" formatCode="0.0000000_ "/>
    <numFmt numFmtId="180" formatCode="0.00_ ;[Red]\-0.00\ "/>
    <numFmt numFmtId="181" formatCode="0.00_ "/>
  </numFmts>
  <fonts count="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9"/>
      <name val="Arial"/>
      <family val="2"/>
    </font>
    <font>
      <sz val="12"/>
      <color theme="0" tint="-0.499984740745262"/>
      <name val="Arial"/>
      <family val="2"/>
    </font>
    <font>
      <sz val="12"/>
      <color indexed="13"/>
      <name val="Arial"/>
      <family val="2"/>
    </font>
    <font>
      <sz val="12"/>
      <name val="Arial"/>
      <family val="2"/>
    </font>
    <font>
      <sz val="12"/>
      <color theme="4"/>
      <name val="Arial"/>
      <family val="2"/>
    </font>
    <font>
      <sz val="12"/>
      <color indexed="43"/>
      <name val="Arial"/>
      <family val="2"/>
    </font>
    <font>
      <sz val="12"/>
      <color rgb="FFFFFF9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77" fontId="6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NumberFormat="1" applyFont="1" applyFill="1" applyBorder="1" applyAlignment="1">
      <alignment horizontal="center" vertical="center"/>
    </xf>
    <xf numFmtId="0" fontId="6" fillId="2" borderId="1" xfId="0" applyNumberFormat="1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10" fontId="3" fillId="2" borderId="1" xfId="0" applyNumberFormat="1" applyFont="1" applyFill="1" applyBorder="1" applyAlignment="1">
      <alignment horizontal="center" vertical="center"/>
    </xf>
    <xf numFmtId="178" fontId="3" fillId="2" borderId="1" xfId="0" applyNumberFormat="1" applyFont="1" applyFill="1" applyBorder="1" applyAlignment="1">
      <alignment horizontal="center" vertical="center"/>
    </xf>
    <xf numFmtId="179" fontId="3" fillId="2" borderId="1" xfId="0" applyNumberFormat="1" applyFont="1" applyFill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181" fontId="3" fillId="2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0">
                <a:solidFill>
                  <a:schemeClr val="bg1">
                    <a:lumMod val="50000"/>
                  </a:schemeClr>
                </a:solidFill>
              </a:defRPr>
            </a:pPr>
            <a:r>
              <a:rPr lang="en-US" altLang="ja-JP" b="0">
                <a:solidFill>
                  <a:schemeClr val="bg1">
                    <a:lumMod val="50000"/>
                  </a:schemeClr>
                </a:solidFill>
              </a:rPr>
              <a:t>iv</a:t>
            </a:r>
            <a:endParaRPr lang="ja-JP" altLang="en-US" b="0">
              <a:solidFill>
                <a:schemeClr val="bg1">
                  <a:lumMod val="50000"/>
                </a:schemeClr>
              </a:solidFill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sq1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sample!$C$11:$C$34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sample!$F$11:$F$34</c:f>
              <c:numCache>
                <c:formatCode>0.00%</c:formatCode>
                <c:ptCount val="24"/>
                <c:pt idx="0">
                  <c:v>0.59058908541349986</c:v>
                </c:pt>
                <c:pt idx="1">
                  <c:v>0.57122502097570216</c:v>
                </c:pt>
                <c:pt idx="2">
                  <c:v>0.5481982440120069</c:v>
                </c:pt>
                <c:pt idx="3">
                  <c:v>0.52595263276296988</c:v>
                </c:pt>
                <c:pt idx="4">
                  <c:v>0.50492840769228375</c:v>
                </c:pt>
                <c:pt idx="5">
                  <c:v>0.48346000793275795</c:v>
                </c:pt>
                <c:pt idx="6">
                  <c:v>0.46443466344008077</c:v>
                </c:pt>
                <c:pt idx="7">
                  <c:v>0.4448950083424083</c:v>
                </c:pt>
                <c:pt idx="8">
                  <c:v>0.42730887953670527</c:v>
                </c:pt>
                <c:pt idx="9">
                  <c:v>0.40896123169242704</c:v>
                </c:pt>
                <c:pt idx="10">
                  <c:v>0.39197812053524589</c:v>
                </c:pt>
                <c:pt idx="11">
                  <c:v>0.37678907607534146</c:v>
                </c:pt>
                <c:pt idx="12">
                  <c:v>0.36130456687504098</c:v>
                </c:pt>
                <c:pt idx="13">
                  <c:v>0.34675929427227475</c:v>
                </c:pt>
                <c:pt idx="14">
                  <c:v>0.33387715266491119</c:v>
                </c:pt>
                <c:pt idx="15">
                  <c:v>0.32328574714241765</c:v>
                </c:pt>
                <c:pt idx="16">
                  <c:v>0.31480782326400009</c:v>
                </c:pt>
                <c:pt idx="17">
                  <c:v>0.30833525565890357</c:v>
                </c:pt>
                <c:pt idx="18">
                  <c:v>0.30433148455768644</c:v>
                </c:pt>
                <c:pt idx="19">
                  <c:v>0.30321597782527049</c:v>
                </c:pt>
                <c:pt idx="20">
                  <c:v>0.30281743702436736</c:v>
                </c:pt>
                <c:pt idx="21">
                  <c:v>0.3045261755323555</c:v>
                </c:pt>
                <c:pt idx="22">
                  <c:v>0.30823460395572244</c:v>
                </c:pt>
                <c:pt idx="23">
                  <c:v>0.31134273951820296</c:v>
                </c:pt>
              </c:numCache>
            </c:numRef>
          </c:yVal>
          <c:smooth val="0"/>
        </c:ser>
        <c:ser>
          <c:idx val="1"/>
          <c:order val="1"/>
          <c:tx>
            <c:v>sq2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sample!$C$35:$C$58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sample!$F$35:$F$58</c:f>
              <c:numCache>
                <c:formatCode>0.00%</c:formatCode>
                <c:ptCount val="24"/>
                <c:pt idx="0">
                  <c:v>0.46642637731802383</c:v>
                </c:pt>
                <c:pt idx="1">
                  <c:v>0.45180380463724235</c:v>
                </c:pt>
                <c:pt idx="2">
                  <c:v>0.43738603130032616</c:v>
                </c:pt>
                <c:pt idx="3">
                  <c:v>0.42321214037208332</c:v>
                </c:pt>
                <c:pt idx="4">
                  <c:v>0.41139763127873752</c:v>
                </c:pt>
                <c:pt idx="5">
                  <c:v>0.39842188136331208</c:v>
                </c:pt>
                <c:pt idx="6">
                  <c:v>0.38416370504048369</c:v>
                </c:pt>
                <c:pt idx="7">
                  <c:v>0.37360307987226282</c:v>
                </c:pt>
                <c:pt idx="8">
                  <c:v>0.36246713115812323</c:v>
                </c:pt>
                <c:pt idx="9">
                  <c:v>0.35128675305720475</c:v>
                </c:pt>
                <c:pt idx="10">
                  <c:v>0.34054445619275464</c:v>
                </c:pt>
                <c:pt idx="11">
                  <c:v>0.33151722069919354</c:v>
                </c:pt>
                <c:pt idx="12">
                  <c:v>0.32070097773010997</c:v>
                </c:pt>
                <c:pt idx="13">
                  <c:v>0.31255532395320462</c:v>
                </c:pt>
                <c:pt idx="14">
                  <c:v>0.3046020867320175</c:v>
                </c:pt>
                <c:pt idx="15">
                  <c:v>0.29668796837588496</c:v>
                </c:pt>
                <c:pt idx="16">
                  <c:v>0.29176337784156336</c:v>
                </c:pt>
                <c:pt idx="17">
                  <c:v>0.28464614013461842</c:v>
                </c:pt>
                <c:pt idx="18">
                  <c:v>0.28152209393013738</c:v>
                </c:pt>
                <c:pt idx="19">
                  <c:v>0.27942446255650738</c:v>
                </c:pt>
                <c:pt idx="20">
                  <c:v>0.27740738080153965</c:v>
                </c:pt>
                <c:pt idx="21">
                  <c:v>0.27577916081496284</c:v>
                </c:pt>
                <c:pt idx="22">
                  <c:v>0.27712609908424118</c:v>
                </c:pt>
                <c:pt idx="23">
                  <c:v>0.27784779724969083</c:v>
                </c:pt>
              </c:numCache>
            </c:numRef>
          </c:yVal>
          <c:smooth val="0"/>
        </c:ser>
        <c:ser>
          <c:idx val="2"/>
          <c:order val="2"/>
          <c:tx>
            <c:v>sq3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sample!$C$59:$C$82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sample!$F$59:$F$82</c:f>
              <c:numCache>
                <c:formatCode>0.00%</c:formatCode>
                <c:ptCount val="24"/>
                <c:pt idx="0">
                  <c:v>0.41275052406752671</c:v>
                </c:pt>
                <c:pt idx="1">
                  <c:v>0.40441720890793081</c:v>
                </c:pt>
                <c:pt idx="2">
                  <c:v>0.39129323897463242</c:v>
                </c:pt>
                <c:pt idx="3">
                  <c:v>0.38264614243376238</c:v>
                </c:pt>
                <c:pt idx="4">
                  <c:v>0.3694828286782233</c:v>
                </c:pt>
                <c:pt idx="5">
                  <c:v>0.35957384762437866</c:v>
                </c:pt>
                <c:pt idx="6">
                  <c:v>0.35172272942932742</c:v>
                </c:pt>
                <c:pt idx="7">
                  <c:v>0.34295641808373933</c:v>
                </c:pt>
                <c:pt idx="8">
                  <c:v>0.33178121331885502</c:v>
                </c:pt>
                <c:pt idx="9">
                  <c:v>0.3237365093537562</c:v>
                </c:pt>
                <c:pt idx="10">
                  <c:v>0.31523256323266974</c:v>
                </c:pt>
                <c:pt idx="11">
                  <c:v>0.30634667837830382</c:v>
                </c:pt>
                <c:pt idx="12">
                  <c:v>0.30062011504109359</c:v>
                </c:pt>
                <c:pt idx="13">
                  <c:v>0.29476273919414786</c:v>
                </c:pt>
                <c:pt idx="14">
                  <c:v>0.28858956452256584</c:v>
                </c:pt>
                <c:pt idx="15">
                  <c:v>0.28331892449263846</c:v>
                </c:pt>
                <c:pt idx="16">
                  <c:v>0.27854033235502762</c:v>
                </c:pt>
                <c:pt idx="17">
                  <c:v>0.27484734479476775</c:v>
                </c:pt>
                <c:pt idx="18">
                  <c:v>0.26393288336430731</c:v>
                </c:pt>
                <c:pt idx="19">
                  <c:v>0.26186104835288476</c:v>
                </c:pt>
                <c:pt idx="20">
                  <c:v>0.25949958430981523</c:v>
                </c:pt>
                <c:pt idx="21">
                  <c:v>0.25906904511329132</c:v>
                </c:pt>
                <c:pt idx="22">
                  <c:v>0.2583918304078226</c:v>
                </c:pt>
                <c:pt idx="23">
                  <c:v>0.25869484141980131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778344"/>
        <c:axId val="964778736"/>
      </c:scatterChart>
      <c:valAx>
        <c:axId val="964778344"/>
        <c:scaling>
          <c:orientation val="minMax"/>
          <c:max val="20500"/>
          <c:min val="14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964778736"/>
        <c:crosses val="autoZero"/>
        <c:crossBetween val="midCat"/>
        <c:majorUnit val="250"/>
        <c:minorUnit val="250"/>
      </c:valAx>
      <c:valAx>
        <c:axId val="964778736"/>
        <c:scaling>
          <c:orientation val="minMax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477834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vanna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sq1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sample!$C$11:$C$34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sample!$N$11:$N$34</c:f>
              <c:numCache>
                <c:formatCode>0.00_ ;[Red]\-0.00\ </c:formatCode>
                <c:ptCount val="24"/>
                <c:pt idx="0">
                  <c:v>-8.6168644839477962E-2</c:v>
                </c:pt>
                <c:pt idx="1">
                  <c:v>-0.10427573299173837</c:v>
                </c:pt>
                <c:pt idx="2">
                  <c:v>-0.12368325992605</c:v>
                </c:pt>
                <c:pt idx="3">
                  <c:v>-0.14744704302950676</c:v>
                </c:pt>
                <c:pt idx="4">
                  <c:v>-0.17683611682575681</c:v>
                </c:pt>
                <c:pt idx="5">
                  <c:v>-0.21161447115202819</c:v>
                </c:pt>
                <c:pt idx="6">
                  <c:v>-0.25500449491985977</c:v>
                </c:pt>
                <c:pt idx="7">
                  <c:v>-0.30548152179383864</c:v>
                </c:pt>
                <c:pt idx="8">
                  <c:v>-0.36496303079271386</c:v>
                </c:pt>
                <c:pt idx="9">
                  <c:v>-0.43082022114739316</c:v>
                </c:pt>
                <c:pt idx="10">
                  <c:v>-0.50116729447835229</c:v>
                </c:pt>
                <c:pt idx="11">
                  <c:v>-0.56842914190830496</c:v>
                </c:pt>
                <c:pt idx="12">
                  <c:v>-0.62253190439818218</c:v>
                </c:pt>
                <c:pt idx="13">
                  <c:v>-0.64646723710623288</c:v>
                </c:pt>
                <c:pt idx="14">
                  <c:v>-0.61658503594926084</c:v>
                </c:pt>
                <c:pt idx="15">
                  <c:v>-0.508604418253498</c:v>
                </c:pt>
                <c:pt idx="16">
                  <c:v>-0.31287518463991482</c:v>
                </c:pt>
                <c:pt idx="17">
                  <c:v>-4.4099067327099339E-2</c:v>
                </c:pt>
                <c:pt idx="18">
                  <c:v>0.25530410467802866</c:v>
                </c:pt>
                <c:pt idx="19">
                  <c:v>0.52462727856195579</c:v>
                </c:pt>
                <c:pt idx="20">
                  <c:v>0.72120102899147087</c:v>
                </c:pt>
                <c:pt idx="21">
                  <c:v>0.81986075869737307</c:v>
                </c:pt>
                <c:pt idx="22">
                  <c:v>0.82813428471861317</c:v>
                </c:pt>
                <c:pt idx="23">
                  <c:v>0.77509514312473116</c:v>
                </c:pt>
              </c:numCache>
            </c:numRef>
          </c:yVal>
          <c:smooth val="0"/>
        </c:ser>
        <c:ser>
          <c:idx val="1"/>
          <c:order val="1"/>
          <c:tx>
            <c:v>sq2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sample!$C$35:$C$58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sample!$N$35:$N$58</c:f>
              <c:numCache>
                <c:formatCode>0.00_ ;[Red]\-0.00\ </c:formatCode>
                <c:ptCount val="24"/>
                <c:pt idx="0">
                  <c:v>-0.23408008150317469</c:v>
                </c:pt>
                <c:pt idx="1">
                  <c:v>-0.26547879828477416</c:v>
                </c:pt>
                <c:pt idx="2">
                  <c:v>-0.30055533932441147</c:v>
                </c:pt>
                <c:pt idx="3">
                  <c:v>-0.33946641283129458</c:v>
                </c:pt>
                <c:pt idx="4">
                  <c:v>-0.38302451135495275</c:v>
                </c:pt>
                <c:pt idx="5">
                  <c:v>-0.42890591828758451</c:v>
                </c:pt>
                <c:pt idx="6">
                  <c:v>-0.47715880658110715</c:v>
                </c:pt>
                <c:pt idx="7">
                  <c:v>-0.52560431481332015</c:v>
                </c:pt>
                <c:pt idx="8">
                  <c:v>-0.57158387685145651</c:v>
                </c:pt>
                <c:pt idx="9">
                  <c:v>-0.61187441861527281</c:v>
                </c:pt>
                <c:pt idx="10">
                  <c:v>-0.6412634034298903</c:v>
                </c:pt>
                <c:pt idx="11">
                  <c:v>-0.65016115304265865</c:v>
                </c:pt>
                <c:pt idx="12">
                  <c:v>-0.64042765434700732</c:v>
                </c:pt>
                <c:pt idx="13">
                  <c:v>-0.59194648560458618</c:v>
                </c:pt>
                <c:pt idx="14">
                  <c:v>-0.50554793591612202</c:v>
                </c:pt>
                <c:pt idx="15">
                  <c:v>-0.37809756647488274</c:v>
                </c:pt>
                <c:pt idx="16">
                  <c:v>-0.20390967398387017</c:v>
                </c:pt>
                <c:pt idx="17">
                  <c:v>-1.4132563461747758E-3</c:v>
                </c:pt>
                <c:pt idx="18">
                  <c:v>0.22063300570555699</c:v>
                </c:pt>
                <c:pt idx="19">
                  <c:v>0.43623132708323403</c:v>
                </c:pt>
                <c:pt idx="20">
                  <c:v>0.62880992669987268</c:v>
                </c:pt>
                <c:pt idx="21">
                  <c:v>0.78341075662731063</c:v>
                </c:pt>
                <c:pt idx="22">
                  <c:v>0.87940970286886111</c:v>
                </c:pt>
                <c:pt idx="23">
                  <c:v>0.93128833365976038</c:v>
                </c:pt>
              </c:numCache>
            </c:numRef>
          </c:yVal>
          <c:smooth val="0"/>
        </c:ser>
        <c:ser>
          <c:idx val="2"/>
          <c:order val="2"/>
          <c:tx>
            <c:v>sq3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sample!$C$59:$C$82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sample!$N$59:$N$82</c:f>
              <c:numCache>
                <c:formatCode>0.00_ ;[Red]\-0.00\ </c:formatCode>
                <c:ptCount val="24"/>
                <c:pt idx="0">
                  <c:v>-0.33948604175448849</c:v>
                </c:pt>
                <c:pt idx="1">
                  <c:v>-0.37672118671769889</c:v>
                </c:pt>
                <c:pt idx="2">
                  <c:v>-0.41425359657798155</c:v>
                </c:pt>
                <c:pt idx="3">
                  <c:v>-0.45437497911851837</c:v>
                </c:pt>
                <c:pt idx="4">
                  <c:v>-0.49586368712240314</c:v>
                </c:pt>
                <c:pt idx="5">
                  <c:v>-0.53712560937852816</c:v>
                </c:pt>
                <c:pt idx="6">
                  <c:v>-0.57469883120624454</c:v>
                </c:pt>
                <c:pt idx="7">
                  <c:v>-0.60847111035725909</c:v>
                </c:pt>
                <c:pt idx="8">
                  <c:v>-0.64032562739011534</c:v>
                </c:pt>
                <c:pt idx="9">
                  <c:v>-0.65696778620232466</c:v>
                </c:pt>
                <c:pt idx="10">
                  <c:v>-0.66108151993425934</c:v>
                </c:pt>
                <c:pt idx="11">
                  <c:v>-0.64909984249264219</c:v>
                </c:pt>
                <c:pt idx="12">
                  <c:v>-0.6041170156407466</c:v>
                </c:pt>
                <c:pt idx="13">
                  <c:v>-0.53348390216683861</c:v>
                </c:pt>
                <c:pt idx="14">
                  <c:v>-0.43595068685400901</c:v>
                </c:pt>
                <c:pt idx="15">
                  <c:v>-0.30730308773354836</c:v>
                </c:pt>
                <c:pt idx="16">
                  <c:v>-0.1519178823440365</c:v>
                </c:pt>
                <c:pt idx="17">
                  <c:v>2.4490639706314175E-2</c:v>
                </c:pt>
                <c:pt idx="18">
                  <c:v>0.21939969997681882</c:v>
                </c:pt>
                <c:pt idx="19">
                  <c:v>0.4151217937294866</c:v>
                </c:pt>
                <c:pt idx="20">
                  <c:v>0.59921823800274565</c:v>
                </c:pt>
                <c:pt idx="21">
                  <c:v>0.75282173861440582</c:v>
                </c:pt>
                <c:pt idx="22">
                  <c:v>0.87632249362411685</c:v>
                </c:pt>
                <c:pt idx="23">
                  <c:v>0.96035173617173863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768544"/>
        <c:axId val="964768936"/>
      </c:scatterChart>
      <c:valAx>
        <c:axId val="964768544"/>
        <c:scaling>
          <c:orientation val="minMax"/>
          <c:max val="20500"/>
          <c:min val="14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964768936"/>
        <c:crosses val="autoZero"/>
        <c:crossBetween val="midCat"/>
        <c:majorUnit val="250"/>
      </c:valAx>
      <c:valAx>
        <c:axId val="96476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[Red]\-0.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476854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vomma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sq1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sample!$C$11:$C$34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sample!$M$11:$M$34</c:f>
              <c:numCache>
                <c:formatCode>0.00_ </c:formatCode>
                <c:ptCount val="24"/>
                <c:pt idx="0">
                  <c:v>7.3099446378307606E-2</c:v>
                </c:pt>
                <c:pt idx="1">
                  <c:v>8.5474571322143728E-2</c:v>
                </c:pt>
                <c:pt idx="2">
                  <c:v>9.8340425633455811E-2</c:v>
                </c:pt>
                <c:pt idx="3">
                  <c:v>0.11328255489942644</c:v>
                </c:pt>
                <c:pt idx="4">
                  <c:v>0.13058605425000105</c:v>
                </c:pt>
                <c:pt idx="5">
                  <c:v>0.14976033170847391</c:v>
                </c:pt>
                <c:pt idx="6">
                  <c:v>0.1713047419512726</c:v>
                </c:pt>
                <c:pt idx="7">
                  <c:v>0.19383878559537093</c:v>
                </c:pt>
                <c:pt idx="8">
                  <c:v>0.21619426731756558</c:v>
                </c:pt>
                <c:pt idx="9">
                  <c:v>0.23636853082351592</c:v>
                </c:pt>
                <c:pt idx="10">
                  <c:v>0.25071819249772664</c:v>
                </c:pt>
                <c:pt idx="11">
                  <c:v>0.25386401374302064</c:v>
                </c:pt>
                <c:pt idx="12">
                  <c:v>0.2426959940059544</c:v>
                </c:pt>
                <c:pt idx="13">
                  <c:v>0.21225229193773379</c:v>
                </c:pt>
                <c:pt idx="14">
                  <c:v>0.1611515977783512</c:v>
                </c:pt>
                <c:pt idx="15">
                  <c:v>9.6111917967296526E-2</c:v>
                </c:pt>
                <c:pt idx="16">
                  <c:v>3.5103213017970862E-2</c:v>
                </c:pt>
                <c:pt idx="17">
                  <c:v>1.420526523775139E-3</c:v>
                </c:pt>
                <c:pt idx="18">
                  <c:v>1.2645596852210204E-2</c:v>
                </c:pt>
                <c:pt idx="19">
                  <c:v>6.869026838560173E-2</c:v>
                </c:pt>
                <c:pt idx="20">
                  <c:v>0.15242330710740365</c:v>
                </c:pt>
                <c:pt idx="21">
                  <c:v>0.23678596116530307</c:v>
                </c:pt>
                <c:pt idx="22">
                  <c:v>0.29973967274819463</c:v>
                </c:pt>
                <c:pt idx="23">
                  <c:v>0.33583209735944825</c:v>
                </c:pt>
              </c:numCache>
            </c:numRef>
          </c:yVal>
          <c:smooth val="0"/>
        </c:ser>
        <c:ser>
          <c:idx val="1"/>
          <c:order val="1"/>
          <c:tx>
            <c:v>sq2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sample!$C$35:$C$58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sample!$M$35:$M$58</c:f>
              <c:numCache>
                <c:formatCode>0.00_ </c:formatCode>
                <c:ptCount val="24"/>
                <c:pt idx="0">
                  <c:v>0.2547064450348458</c:v>
                </c:pt>
                <c:pt idx="1">
                  <c:v>0.27874068403793617</c:v>
                </c:pt>
                <c:pt idx="2">
                  <c:v>0.30358866017252539</c:v>
                </c:pt>
                <c:pt idx="3">
                  <c:v>0.32870092276319296</c:v>
                </c:pt>
                <c:pt idx="4">
                  <c:v>0.35236762921010883</c:v>
                </c:pt>
                <c:pt idx="5">
                  <c:v>0.37416969192753574</c:v>
                </c:pt>
                <c:pt idx="6">
                  <c:v>0.393853735280979</c:v>
                </c:pt>
                <c:pt idx="7">
                  <c:v>0.40422175021999202</c:v>
                </c:pt>
                <c:pt idx="8">
                  <c:v>0.40680693432638115</c:v>
                </c:pt>
                <c:pt idx="9">
                  <c:v>0.39899338662269557</c:v>
                </c:pt>
                <c:pt idx="10">
                  <c:v>0.37777757114875682</c:v>
                </c:pt>
                <c:pt idx="11">
                  <c:v>0.33866208518172741</c:v>
                </c:pt>
                <c:pt idx="12">
                  <c:v>0.28967108574826128</c:v>
                </c:pt>
                <c:pt idx="13">
                  <c:v>0.22340797689784073</c:v>
                </c:pt>
                <c:pt idx="14">
                  <c:v>0.15145933631217345</c:v>
                </c:pt>
                <c:pt idx="15">
                  <c:v>8.273633322548149E-2</c:v>
                </c:pt>
                <c:pt idx="16">
                  <c:v>2.7318379227648588E-2</c:v>
                </c:pt>
                <c:pt idx="17">
                  <c:v>6.7000332533456123E-5</c:v>
                </c:pt>
                <c:pt idx="18">
                  <c:v>9.0730209205591352E-3</c:v>
                </c:pt>
                <c:pt idx="19">
                  <c:v>5.6636690076000751E-2</c:v>
                </c:pt>
                <c:pt idx="20">
                  <c:v>0.13750389417581843</c:v>
                </c:pt>
                <c:pt idx="21">
                  <c:v>0.24066872579579726</c:v>
                </c:pt>
                <c:pt idx="22">
                  <c:v>0.34382055013150764</c:v>
                </c:pt>
                <c:pt idx="23">
                  <c:v>0.441468456519506</c:v>
                </c:pt>
              </c:numCache>
            </c:numRef>
          </c:yVal>
          <c:smooth val="0"/>
        </c:ser>
        <c:ser>
          <c:idx val="2"/>
          <c:order val="2"/>
          <c:tx>
            <c:v>sq3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sample!$C$59:$C$82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sample!$M$59:$M$82</c:f>
              <c:numCache>
                <c:formatCode>0.00_ </c:formatCode>
                <c:ptCount val="24"/>
                <c:pt idx="0">
                  <c:v>0.42156545288220731</c:v>
                </c:pt>
                <c:pt idx="1">
                  <c:v>0.44673594719194126</c:v>
                </c:pt>
                <c:pt idx="2">
                  <c:v>0.47286518218876206</c:v>
                </c:pt>
                <c:pt idx="3">
                  <c:v>0.49249702909490195</c:v>
                </c:pt>
                <c:pt idx="4">
                  <c:v>0.51388172387058872</c:v>
                </c:pt>
                <c:pt idx="5">
                  <c:v>0.52567385537655631</c:v>
                </c:pt>
                <c:pt idx="6">
                  <c:v>0.52546776482435653</c:v>
                </c:pt>
                <c:pt idx="7">
                  <c:v>0.5174635440973071</c:v>
                </c:pt>
                <c:pt idx="8">
                  <c:v>0.50559725597812666</c:v>
                </c:pt>
                <c:pt idx="9">
                  <c:v>0.47286080325960445</c:v>
                </c:pt>
                <c:pt idx="10">
                  <c:v>0.42874683729714513</c:v>
                </c:pt>
                <c:pt idx="11">
                  <c:v>0.37347865542147696</c:v>
                </c:pt>
                <c:pt idx="12">
                  <c:v>0.29892445958748809</c:v>
                </c:pt>
                <c:pt idx="13">
                  <c:v>0.22010292108751822</c:v>
                </c:pt>
                <c:pt idx="14">
                  <c:v>0.14324719028046146</c:v>
                </c:pt>
                <c:pt idx="15">
                  <c:v>7.4274369028558856E-2</c:v>
                </c:pt>
                <c:pt idx="16">
                  <c:v>2.3191285706109521E-2</c:v>
                </c:pt>
                <c:pt idx="17">
                  <c:v>-1.5139103931376824E-3</c:v>
                </c:pt>
                <c:pt idx="18">
                  <c:v>7.2546477201048233E-3</c:v>
                </c:pt>
                <c:pt idx="19">
                  <c:v>5.3072054651840561E-2</c:v>
                </c:pt>
                <c:pt idx="20">
                  <c:v>0.13377881817594248</c:v>
                </c:pt>
                <c:pt idx="21">
                  <c:v>0.23813683108509953</c:v>
                </c:pt>
                <c:pt idx="22">
                  <c:v>0.3584244645080738</c:v>
                </c:pt>
                <c:pt idx="23">
                  <c:v>0.47911078180797806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769328"/>
        <c:axId val="964792456"/>
      </c:scatterChart>
      <c:valAx>
        <c:axId val="964769328"/>
        <c:scaling>
          <c:orientation val="minMax"/>
          <c:max val="20500"/>
          <c:min val="14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964792456"/>
        <c:crosses val="autoZero"/>
        <c:crossBetween val="midCat"/>
        <c:majorUnit val="250"/>
      </c:valAx>
      <c:valAx>
        <c:axId val="96479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4769328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504825</xdr:colOff>
      <xdr:row>85</xdr:row>
      <xdr:rowOff>0</xdr:rowOff>
    </xdr:from>
    <xdr:to>
      <xdr:col>12</xdr:col>
      <xdr:colOff>600075</xdr:colOff>
      <xdr:row>108</xdr:row>
      <xdr:rowOff>114300</xdr:rowOff>
    </xdr:to>
    <xdr:graphicFrame macro="">
      <xdr:nvGraphicFramePr>
        <xdr:cNvPr id="2117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485775</xdr:colOff>
      <xdr:row>109</xdr:row>
      <xdr:rowOff>85725</xdr:rowOff>
    </xdr:from>
    <xdr:to>
      <xdr:col>12</xdr:col>
      <xdr:colOff>600075</xdr:colOff>
      <xdr:row>136</xdr:row>
      <xdr:rowOff>38100</xdr:rowOff>
    </xdr:to>
    <xdr:graphicFrame macro="">
      <xdr:nvGraphicFramePr>
        <xdr:cNvPr id="2118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485775</xdr:colOff>
      <xdr:row>136</xdr:row>
      <xdr:rowOff>142875</xdr:rowOff>
    </xdr:from>
    <xdr:to>
      <xdr:col>12</xdr:col>
      <xdr:colOff>600075</xdr:colOff>
      <xdr:row>163</xdr:row>
      <xdr:rowOff>85725</xdr:rowOff>
    </xdr:to>
    <xdr:graphicFrame macro="">
      <xdr:nvGraphicFramePr>
        <xdr:cNvPr id="2119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82"/>
  <sheetViews>
    <sheetView tabSelected="1" zoomScale="75" workbookViewId="0">
      <pane ySplit="10" topLeftCell="A11" activePane="bottomLeft" state="frozen"/>
      <selection pane="bottomLeft"/>
    </sheetView>
  </sheetViews>
  <sheetFormatPr defaultRowHeight="15" x14ac:dyDescent="0.15"/>
  <cols>
    <col min="1" max="1" width="4.125" style="8" customWidth="1"/>
    <col min="2" max="3" width="13.75" style="8" customWidth="1"/>
    <col min="4" max="5" width="13.75" style="25" customWidth="1"/>
    <col min="6" max="6" width="14.125" style="17" customWidth="1"/>
    <col min="7" max="8" width="9" style="17"/>
    <col min="9" max="9" width="13.5" style="17" bestFit="1" customWidth="1"/>
    <col min="10" max="11" width="11" style="17" bestFit="1" customWidth="1"/>
    <col min="12" max="12" width="13.25" style="17" bestFit="1" customWidth="1"/>
    <col min="13" max="13" width="9" style="17"/>
    <col min="14" max="14" width="12.125" style="17" bestFit="1" customWidth="1"/>
    <col min="15" max="16384" width="9" style="8"/>
  </cols>
  <sheetData>
    <row r="1" spans="2:19" s="1" customFormat="1" x14ac:dyDescent="0.15">
      <c r="B1" s="2"/>
      <c r="C1" s="2"/>
      <c r="D1" s="2"/>
      <c r="E1" s="2"/>
      <c r="F1" s="3"/>
      <c r="G1" s="3"/>
      <c r="H1" s="3"/>
      <c r="I1" s="3"/>
      <c r="J1" s="3"/>
      <c r="K1" s="3"/>
      <c r="L1" s="3"/>
      <c r="M1" s="3"/>
      <c r="N1" s="3"/>
    </row>
    <row r="2" spans="2:19" s="1" customFormat="1" x14ac:dyDescent="0.15">
      <c r="B2" s="4"/>
      <c r="C2" s="2"/>
      <c r="D2" s="2"/>
      <c r="E2" s="5"/>
      <c r="F2" s="6"/>
      <c r="G2" s="6"/>
      <c r="H2" s="6"/>
      <c r="I2" s="6"/>
      <c r="J2" s="6"/>
      <c r="K2" s="6"/>
      <c r="L2" s="6"/>
      <c r="M2" s="6"/>
      <c r="N2" s="6"/>
      <c r="O2" s="5"/>
      <c r="P2" s="5"/>
    </row>
    <row r="3" spans="2:19" s="1" customFormat="1" ht="13.5" customHeight="1" x14ac:dyDescent="0.15">
      <c r="B3" s="2"/>
      <c r="C3" s="7" t="s">
        <v>10</v>
      </c>
      <c r="D3" s="7" t="s">
        <v>11</v>
      </c>
      <c r="E3" s="7" t="s">
        <v>12</v>
      </c>
      <c r="F3" s="6"/>
      <c r="G3" s="6"/>
      <c r="H3" s="6"/>
      <c r="I3" s="6"/>
      <c r="J3" s="6"/>
      <c r="K3" s="6"/>
      <c r="L3" s="6"/>
      <c r="M3" s="6"/>
      <c r="N3" s="6"/>
      <c r="O3" s="5"/>
      <c r="P3" s="5"/>
      <c r="S3" s="8"/>
    </row>
    <row r="4" spans="2:19" s="1" customFormat="1" x14ac:dyDescent="0.15">
      <c r="B4" s="7" t="s">
        <v>13</v>
      </c>
      <c r="C4" s="9">
        <v>12.5</v>
      </c>
      <c r="D4" s="9">
        <v>31.5</v>
      </c>
      <c r="E4" s="9">
        <v>51.5</v>
      </c>
      <c r="F4" s="6"/>
      <c r="G4" s="6"/>
      <c r="H4" s="6"/>
      <c r="I4" s="6"/>
      <c r="J4" s="6"/>
      <c r="K4" s="6"/>
      <c r="L4" s="6"/>
      <c r="M4" s="6"/>
      <c r="N4" s="6"/>
      <c r="O4" s="5"/>
      <c r="P4" s="5"/>
      <c r="S4" s="8"/>
    </row>
    <row r="5" spans="2:19" s="1" customFormat="1" x14ac:dyDescent="0.15">
      <c r="B5" s="9">
        <v>365</v>
      </c>
      <c r="C5" s="10">
        <f>C4/$B$5</f>
        <v>3.4246575342465752E-2</v>
      </c>
      <c r="D5" s="10">
        <f>D4/$B$5</f>
        <v>8.6301369863013705E-2</v>
      </c>
      <c r="E5" s="10">
        <f>E4/$B$5</f>
        <v>0.14109589041095891</v>
      </c>
      <c r="F5" s="6"/>
      <c r="G5" s="6"/>
      <c r="H5" s="6"/>
      <c r="I5" s="6"/>
      <c r="J5" s="6"/>
      <c r="K5" s="6"/>
      <c r="L5" s="6"/>
      <c r="M5" s="6"/>
      <c r="N5" s="6"/>
    </row>
    <row r="6" spans="2:19" s="1" customFormat="1" x14ac:dyDescent="0.15">
      <c r="B6" s="7" t="s">
        <v>14</v>
      </c>
      <c r="C6" s="11"/>
      <c r="D6" s="11"/>
      <c r="E6" s="12"/>
      <c r="F6" s="6"/>
      <c r="G6" s="6"/>
      <c r="H6" s="6"/>
      <c r="I6" s="6"/>
      <c r="J6" s="6"/>
      <c r="K6" s="6"/>
      <c r="L6" s="6"/>
      <c r="M6" s="6"/>
      <c r="N6" s="6"/>
    </row>
    <row r="7" spans="2:19" s="1" customFormat="1" x14ac:dyDescent="0.15">
      <c r="B7" s="13">
        <v>19068.157894736843</v>
      </c>
      <c r="C7" s="13">
        <v>19068.157894736843</v>
      </c>
      <c r="D7" s="13">
        <v>19068.157894736843</v>
      </c>
      <c r="E7" s="13">
        <v>19068.157894736843</v>
      </c>
      <c r="F7" s="6"/>
      <c r="G7" s="6"/>
      <c r="H7" s="6"/>
      <c r="I7" s="6"/>
      <c r="J7" s="6"/>
      <c r="K7" s="6"/>
      <c r="L7" s="6"/>
      <c r="M7" s="6"/>
      <c r="N7" s="6"/>
    </row>
    <row r="8" spans="2:19" s="1" customFormat="1" x14ac:dyDescent="0.15">
      <c r="B8" s="11"/>
      <c r="C8" s="14"/>
      <c r="D8" s="14"/>
      <c r="E8" s="14"/>
      <c r="F8" s="6"/>
      <c r="G8" s="6"/>
      <c r="H8" s="6"/>
      <c r="I8" s="6"/>
      <c r="J8" s="6"/>
      <c r="K8" s="6"/>
      <c r="L8" s="6"/>
      <c r="M8" s="6"/>
      <c r="N8" s="6"/>
    </row>
    <row r="9" spans="2:19" s="1" customFormat="1" x14ac:dyDescent="0.15">
      <c r="B9" s="2"/>
      <c r="C9" s="2"/>
      <c r="D9" s="15"/>
      <c r="E9" s="15"/>
      <c r="F9" s="16"/>
      <c r="G9" s="7" t="s">
        <v>9</v>
      </c>
      <c r="H9" s="7"/>
      <c r="I9" s="7" t="s">
        <v>2</v>
      </c>
      <c r="J9" s="7" t="s">
        <v>3</v>
      </c>
      <c r="K9" s="16"/>
      <c r="L9" s="7" t="s">
        <v>4</v>
      </c>
      <c r="M9" s="7" t="s">
        <v>5</v>
      </c>
      <c r="N9" s="7" t="s">
        <v>6</v>
      </c>
    </row>
    <row r="10" spans="2:19" s="1" customFormat="1" x14ac:dyDescent="0.15">
      <c r="C10" s="7" t="s">
        <v>15</v>
      </c>
      <c r="D10" s="7" t="s">
        <v>16</v>
      </c>
      <c r="E10" s="7" t="s">
        <v>17</v>
      </c>
      <c r="F10" s="17" t="s">
        <v>18</v>
      </c>
      <c r="G10" s="17" t="s">
        <v>7</v>
      </c>
      <c r="H10" s="17" t="s">
        <v>8</v>
      </c>
      <c r="I10" s="17"/>
      <c r="J10" s="17" t="s">
        <v>1</v>
      </c>
      <c r="K10" s="17" t="s">
        <v>0</v>
      </c>
      <c r="L10" s="3"/>
      <c r="M10" s="3"/>
      <c r="N10" s="3"/>
    </row>
    <row r="11" spans="2:19" x14ac:dyDescent="0.15">
      <c r="B11" s="7" t="str">
        <f>C3</f>
        <v>sq1</v>
      </c>
      <c r="C11" s="18">
        <v>14750</v>
      </c>
      <c r="D11" s="19">
        <v>4325</v>
      </c>
      <c r="E11" s="19">
        <v>5.7935222672064777</v>
      </c>
      <c r="F11" s="20">
        <f>bs2_ivolat($C$7, $C11, 0, 0, $C$5, $D11, $E11)</f>
        <v>0.59058908541349986</v>
      </c>
      <c r="G11" s="21">
        <f t="shared" ref="G11:G34" si="0">bs2_delta_put($C$7, $C11, 0, 0, $C$5, $F11)</f>
        <v>-8.1067786144589406E-3</v>
      </c>
      <c r="H11" s="21">
        <f t="shared" ref="H11:H34" si="1">bs2_delta_call($C$7, $C11, 0, 0, $C$5, $F11)</f>
        <v>0.99189322138554104</v>
      </c>
      <c r="I11" s="22">
        <f>bs2_gamma($C$7, $C11, 0, 0, $C$5, $F11)</f>
        <v>1.0641212544146498E-5</v>
      </c>
      <c r="J11" s="23">
        <f t="shared" ref="J11:J34" si="2">bs2_theta_put($C$7, $C11, 0, 0, $C$5, $F11)/$B$5</f>
        <v>-1.848657979460415</v>
      </c>
      <c r="K11" s="23">
        <f t="shared" ref="K11:K34" si="3">bs2_theta_call($C$7, $C11, 0, 0, $C$5, $F11)/$B$5</f>
        <v>-1.848657979460415</v>
      </c>
      <c r="L11" s="24">
        <f>bs2_vega($C$7, $C11, 0, 0, $C$5, $F11)/100</f>
        <v>0.78254831706129491</v>
      </c>
      <c r="M11" s="24">
        <f>bs2_vomma($C$7, $C11, 0, 0, $C$5, $F11)/10000</f>
        <v>7.3099446378307606E-2</v>
      </c>
      <c r="N11" s="23">
        <f>bs2_vanna($C$7, $C11, 0, 0, $C$5, $F11)</f>
        <v>-8.6168644839477962E-2</v>
      </c>
    </row>
    <row r="12" spans="2:19" x14ac:dyDescent="0.15">
      <c r="C12" s="18">
        <v>15000</v>
      </c>
      <c r="D12" s="19">
        <v>4075</v>
      </c>
      <c r="E12" s="19">
        <v>7.1347150259067362</v>
      </c>
      <c r="F12" s="20">
        <f t="shared" ref="F12:F34" si="4">bs2_ivolat($C$7, $C12, 0, 0, $C$5, $D12, $E12)</f>
        <v>0.57122502097570216</v>
      </c>
      <c r="G12" s="21">
        <f t="shared" si="0"/>
        <v>-1.0091397565657755E-2</v>
      </c>
      <c r="H12" s="21">
        <f t="shared" si="1"/>
        <v>0.9899086024343422</v>
      </c>
      <c r="I12" s="22">
        <f t="shared" ref="I12:I34" si="5">bs2_gamma($C$7, $C12, 0, 0, $C$5, $F12)</f>
        <v>1.3327751357392602E-5</v>
      </c>
      <c r="J12" s="23">
        <f t="shared" si="2"/>
        <v>-2.1660373710588239</v>
      </c>
      <c r="K12" s="23">
        <f t="shared" si="3"/>
        <v>-2.1660373710588239</v>
      </c>
      <c r="L12" s="24">
        <f t="shared" ref="L12:L34" si="6">bs2_vega($C$7, $C12, 0, 0, $C$5, $F12)/100</f>
        <v>0.9479790325706684</v>
      </c>
      <c r="M12" s="24">
        <f t="shared" ref="M12:M34" si="7">bs2_vomma($C$7, $C12, 0, 0, $C$5, $F12)/10000</f>
        <v>8.5474571322143728E-2</v>
      </c>
      <c r="N12" s="23">
        <f t="shared" ref="N12:N34" si="8">bs2_vanna($C$7, $C12, 0, 0, $C$5, $F12)</f>
        <v>-0.10427573299173837</v>
      </c>
    </row>
    <row r="13" spans="2:19" x14ac:dyDescent="0.15">
      <c r="C13" s="18">
        <v>15250</v>
      </c>
      <c r="D13" s="19">
        <v>3825</v>
      </c>
      <c r="E13" s="19">
        <v>8.3856209150326801</v>
      </c>
      <c r="F13" s="20">
        <f t="shared" si="4"/>
        <v>0.5481982440120069</v>
      </c>
      <c r="G13" s="21">
        <f t="shared" si="0"/>
        <v>-1.2122561161458234E-2</v>
      </c>
      <c r="H13" s="21">
        <f t="shared" si="1"/>
        <v>0.98787743883854173</v>
      </c>
      <c r="I13" s="22">
        <f t="shared" si="5"/>
        <v>1.6289105101065606E-5</v>
      </c>
      <c r="J13" s="23">
        <f t="shared" si="2"/>
        <v>-2.438187634858072</v>
      </c>
      <c r="K13" s="23">
        <f t="shared" si="3"/>
        <v>-2.438187634858072</v>
      </c>
      <c r="L13" s="24">
        <f t="shared" si="6"/>
        <v>1.1119096337367462</v>
      </c>
      <c r="M13" s="24">
        <f t="shared" si="7"/>
        <v>9.8340425633455811E-2</v>
      </c>
      <c r="N13" s="23">
        <f t="shared" si="8"/>
        <v>-0.12368325992605</v>
      </c>
    </row>
    <row r="14" spans="2:19" x14ac:dyDescent="0.15">
      <c r="C14" s="18">
        <v>15500</v>
      </c>
      <c r="D14" s="19">
        <v>3580</v>
      </c>
      <c r="E14" s="19">
        <v>9.988826815642458</v>
      </c>
      <c r="F14" s="20">
        <f t="shared" si="4"/>
        <v>0.52595263276296988</v>
      </c>
      <c r="G14" s="21">
        <f t="shared" si="0"/>
        <v>-1.4730654047615328E-2</v>
      </c>
      <c r="H14" s="21">
        <f t="shared" si="1"/>
        <v>0.98526934595238469</v>
      </c>
      <c r="I14" s="22">
        <f t="shared" si="5"/>
        <v>2.0089591293435198E-5</v>
      </c>
      <c r="J14" s="23">
        <f t="shared" si="2"/>
        <v>-2.767954756365536</v>
      </c>
      <c r="K14" s="23">
        <f t="shared" si="3"/>
        <v>-2.767954756365536</v>
      </c>
      <c r="L14" s="24">
        <f t="shared" si="6"/>
        <v>1.3156863298814236</v>
      </c>
      <c r="M14" s="24">
        <f t="shared" si="7"/>
        <v>0.11328255489942644</v>
      </c>
      <c r="N14" s="23">
        <f t="shared" si="8"/>
        <v>-0.14744704302950676</v>
      </c>
    </row>
    <row r="15" spans="2:19" x14ac:dyDescent="0.15">
      <c r="C15" s="18">
        <v>15750</v>
      </c>
      <c r="D15" s="19">
        <v>3330</v>
      </c>
      <c r="E15" s="19">
        <v>12.134328358208956</v>
      </c>
      <c r="F15" s="20">
        <f t="shared" si="4"/>
        <v>0.50492840769228375</v>
      </c>
      <c r="G15" s="21">
        <f t="shared" si="0"/>
        <v>-1.8187575854117361E-2</v>
      </c>
      <c r="H15" s="21">
        <f t="shared" si="1"/>
        <v>0.98181242414588266</v>
      </c>
      <c r="I15" s="22">
        <f t="shared" si="5"/>
        <v>2.5065883928839017E-5</v>
      </c>
      <c r="J15" s="23">
        <f t="shared" si="2"/>
        <v>-3.1830045057077445</v>
      </c>
      <c r="K15" s="23">
        <f t="shared" si="3"/>
        <v>-3.1830045057077445</v>
      </c>
      <c r="L15" s="24">
        <f t="shared" si="6"/>
        <v>1.5759682250080234</v>
      </c>
      <c r="M15" s="24">
        <f t="shared" si="7"/>
        <v>0.13058605425000105</v>
      </c>
      <c r="N15" s="23">
        <f t="shared" si="8"/>
        <v>-0.17683611682575681</v>
      </c>
    </row>
    <row r="16" spans="2:19" x14ac:dyDescent="0.15">
      <c r="C16" s="18">
        <v>16000</v>
      </c>
      <c r="D16" s="19">
        <v>3080</v>
      </c>
      <c r="E16" s="19">
        <v>14.716845878136201</v>
      </c>
      <c r="F16" s="20">
        <f t="shared" si="4"/>
        <v>0.48346000793275795</v>
      </c>
      <c r="G16" s="21">
        <f t="shared" si="0"/>
        <v>-2.2451917259058461E-2</v>
      </c>
      <c r="H16" s="21">
        <f t="shared" si="1"/>
        <v>0.97754808274094152</v>
      </c>
      <c r="I16" s="22">
        <f t="shared" si="5"/>
        <v>3.1297768398901008E-5</v>
      </c>
      <c r="J16" s="23">
        <f t="shared" si="2"/>
        <v>-3.6435866399101733</v>
      </c>
      <c r="K16" s="23">
        <f t="shared" si="3"/>
        <v>-3.6435866399101733</v>
      </c>
      <c r="L16" s="24">
        <f t="shared" si="6"/>
        <v>1.884119978966772</v>
      </c>
      <c r="M16" s="24">
        <f t="shared" si="7"/>
        <v>0.14976033170847391</v>
      </c>
      <c r="N16" s="23">
        <f t="shared" si="8"/>
        <v>-0.21161447115202819</v>
      </c>
    </row>
    <row r="17" spans="3:14" x14ac:dyDescent="0.15">
      <c r="C17" s="18">
        <v>16250</v>
      </c>
      <c r="D17" s="19">
        <v>2840</v>
      </c>
      <c r="E17" s="19">
        <v>18.495049504950494</v>
      </c>
      <c r="F17" s="20">
        <f t="shared" si="4"/>
        <v>0.46443466344008077</v>
      </c>
      <c r="G17" s="21">
        <f t="shared" si="0"/>
        <v>-2.8472930704521806E-2</v>
      </c>
      <c r="H17" s="21">
        <f t="shared" si="1"/>
        <v>0.97152706929547816</v>
      </c>
      <c r="I17" s="22">
        <f t="shared" si="5"/>
        <v>3.9754818292111757E-5</v>
      </c>
      <c r="J17" s="23">
        <f t="shared" si="2"/>
        <v>-4.2710400506011208</v>
      </c>
      <c r="K17" s="23">
        <f t="shared" si="3"/>
        <v>-4.2710400506011208</v>
      </c>
      <c r="L17" s="24">
        <f t="shared" si="6"/>
        <v>2.2990532290190218</v>
      </c>
      <c r="M17" s="24">
        <f t="shared" si="7"/>
        <v>0.1713047419512726</v>
      </c>
      <c r="N17" s="23">
        <f t="shared" si="8"/>
        <v>-0.25500449491985977</v>
      </c>
    </row>
    <row r="18" spans="3:14" x14ac:dyDescent="0.15">
      <c r="C18" s="18">
        <v>16500</v>
      </c>
      <c r="D18" s="19">
        <v>2590</v>
      </c>
      <c r="E18" s="19">
        <v>23.196721311475411</v>
      </c>
      <c r="F18" s="20">
        <f t="shared" si="4"/>
        <v>0.4448950083424083</v>
      </c>
      <c r="G18" s="21">
        <f t="shared" si="0"/>
        <v>-3.6072466193519163E-2</v>
      </c>
      <c r="H18" s="21">
        <f t="shared" si="1"/>
        <v>0.96392753380648089</v>
      </c>
      <c r="I18" s="22">
        <f t="shared" si="5"/>
        <v>5.0452557459444414E-5</v>
      </c>
      <c r="J18" s="23">
        <f t="shared" si="2"/>
        <v>-4.973852139413359</v>
      </c>
      <c r="K18" s="23">
        <f t="shared" si="3"/>
        <v>-4.973852139413359</v>
      </c>
      <c r="L18" s="24">
        <f t="shared" si="6"/>
        <v>2.7949583868927625</v>
      </c>
      <c r="M18" s="24">
        <f t="shared" si="7"/>
        <v>0.19383878559537093</v>
      </c>
      <c r="N18" s="23">
        <f t="shared" si="8"/>
        <v>-0.30548152179383864</v>
      </c>
    </row>
    <row r="19" spans="3:14" x14ac:dyDescent="0.15">
      <c r="C19" s="18">
        <v>16750</v>
      </c>
      <c r="D19" s="19">
        <v>2350</v>
      </c>
      <c r="E19" s="19">
        <v>29.912820512820513</v>
      </c>
      <c r="F19" s="20">
        <f t="shared" si="4"/>
        <v>0.42730887953670527</v>
      </c>
      <c r="G19" s="21">
        <f t="shared" si="0"/>
        <v>-4.6603392957112827E-2</v>
      </c>
      <c r="H19" s="21">
        <f t="shared" si="1"/>
        <v>0.9533966070428872</v>
      </c>
      <c r="I19" s="22">
        <f t="shared" si="5"/>
        <v>6.4655994890763723E-5</v>
      </c>
      <c r="J19" s="23">
        <f t="shared" si="2"/>
        <v>-5.8801344015462522</v>
      </c>
      <c r="K19" s="23">
        <f t="shared" si="3"/>
        <v>-5.8801344015462522</v>
      </c>
      <c r="L19" s="24">
        <f t="shared" si="6"/>
        <v>3.4402130889027998</v>
      </c>
      <c r="M19" s="24">
        <f t="shared" si="7"/>
        <v>0.21619426731756558</v>
      </c>
      <c r="N19" s="23">
        <f t="shared" si="8"/>
        <v>-0.36496303079271386</v>
      </c>
    </row>
    <row r="20" spans="3:14" x14ac:dyDescent="0.15">
      <c r="C20" s="18">
        <v>17000</v>
      </c>
      <c r="D20" s="19">
        <v>2110</v>
      </c>
      <c r="E20" s="19">
        <v>38.39473684210526</v>
      </c>
      <c r="F20" s="20">
        <f t="shared" si="4"/>
        <v>0.40896123169242704</v>
      </c>
      <c r="G20" s="21">
        <f t="shared" si="0"/>
        <v>-5.9996127862624607E-2</v>
      </c>
      <c r="H20" s="21">
        <f t="shared" si="1"/>
        <v>0.94000387213737535</v>
      </c>
      <c r="I20" s="22">
        <f t="shared" si="5"/>
        <v>8.2541817518810238E-5</v>
      </c>
      <c r="J20" s="23">
        <f t="shared" si="2"/>
        <v>-6.8759534302266658</v>
      </c>
      <c r="K20" s="23">
        <f t="shared" si="3"/>
        <v>-6.8759534302266658</v>
      </c>
      <c r="L20" s="24">
        <f t="shared" si="6"/>
        <v>4.2033039426326084</v>
      </c>
      <c r="M20" s="24">
        <f t="shared" si="7"/>
        <v>0.23636853082351592</v>
      </c>
      <c r="N20" s="23">
        <f t="shared" si="8"/>
        <v>-0.43082022114739316</v>
      </c>
    </row>
    <row r="21" spans="3:14" x14ac:dyDescent="0.15">
      <c r="C21" s="18">
        <v>17250</v>
      </c>
      <c r="D21" s="19">
        <v>1870</v>
      </c>
      <c r="E21" s="19">
        <v>50.223529411764709</v>
      </c>
      <c r="F21" s="20">
        <f t="shared" si="4"/>
        <v>0.39197812053524589</v>
      </c>
      <c r="G21" s="21">
        <f t="shared" si="0"/>
        <v>-7.8138530950338611E-2</v>
      </c>
      <c r="H21" s="21">
        <f t="shared" si="1"/>
        <v>0.92186146904966138</v>
      </c>
      <c r="I21" s="22">
        <f t="shared" si="5"/>
        <v>1.0558191264166359E-4</v>
      </c>
      <c r="J21" s="23">
        <f t="shared" si="2"/>
        <v>-8.0799336840466136</v>
      </c>
      <c r="K21" s="23">
        <f t="shared" si="3"/>
        <v>-8.0799336840466136</v>
      </c>
      <c r="L21" s="24">
        <f t="shared" si="6"/>
        <v>5.1533065627575523</v>
      </c>
      <c r="M21" s="24">
        <f t="shared" si="7"/>
        <v>0.25071819249772664</v>
      </c>
      <c r="N21" s="23">
        <f t="shared" si="8"/>
        <v>-0.50116729447835229</v>
      </c>
    </row>
    <row r="22" spans="3:14" x14ac:dyDescent="0.15">
      <c r="C22" s="18">
        <v>17500</v>
      </c>
      <c r="D22" s="19">
        <v>1635</v>
      </c>
      <c r="E22" s="19">
        <v>67.037974683544306</v>
      </c>
      <c r="F22" s="20">
        <f t="shared" si="4"/>
        <v>0.37678907607534146</v>
      </c>
      <c r="G22" s="21">
        <f t="shared" si="0"/>
        <v>-0.10282247325694695</v>
      </c>
      <c r="H22" s="21">
        <f t="shared" si="1"/>
        <v>0.89717752674305307</v>
      </c>
      <c r="I22" s="22">
        <f t="shared" si="5"/>
        <v>1.3469846113770939E-4</v>
      </c>
      <c r="J22" s="23">
        <f t="shared" si="2"/>
        <v>-9.5247560074538455</v>
      </c>
      <c r="K22" s="23">
        <f t="shared" si="3"/>
        <v>-9.5247560074538455</v>
      </c>
      <c r="L22" s="24">
        <f t="shared" si="6"/>
        <v>6.3196869364315829</v>
      </c>
      <c r="M22" s="24">
        <f t="shared" si="7"/>
        <v>0.25386401374302064</v>
      </c>
      <c r="N22" s="23">
        <f t="shared" si="8"/>
        <v>-0.56842914190830496</v>
      </c>
    </row>
    <row r="23" spans="3:14" x14ac:dyDescent="0.15">
      <c r="C23" s="18">
        <v>17750</v>
      </c>
      <c r="D23" s="19">
        <v>1410</v>
      </c>
      <c r="E23" s="19">
        <v>89.264069264069263</v>
      </c>
      <c r="F23" s="20">
        <f t="shared" si="4"/>
        <v>0.36130456687504098</v>
      </c>
      <c r="G23" s="21">
        <f t="shared" si="0"/>
        <v>-0.13462316385568665</v>
      </c>
      <c r="H23" s="21">
        <f t="shared" si="1"/>
        <v>0.86537683614431338</v>
      </c>
      <c r="I23" s="22">
        <f t="shared" si="5"/>
        <v>1.6997030096325548E-4</v>
      </c>
      <c r="J23" s="23">
        <f t="shared" si="2"/>
        <v>-11.051330430812655</v>
      </c>
      <c r="K23" s="23">
        <f t="shared" si="3"/>
        <v>-11.051330430812655</v>
      </c>
      <c r="L23" s="24">
        <f t="shared" si="6"/>
        <v>7.6468244827326064</v>
      </c>
      <c r="M23" s="24">
        <f t="shared" si="7"/>
        <v>0.2426959940059544</v>
      </c>
      <c r="N23" s="23">
        <f t="shared" si="8"/>
        <v>-0.62253190439818218</v>
      </c>
    </row>
    <row r="24" spans="3:14" x14ac:dyDescent="0.15">
      <c r="C24" s="18">
        <v>18000</v>
      </c>
      <c r="D24" s="19">
        <v>1188.9473684210527</v>
      </c>
      <c r="E24" s="19">
        <v>119.71982758620689</v>
      </c>
      <c r="F24" s="20">
        <f t="shared" si="4"/>
        <v>0.34675929427227475</v>
      </c>
      <c r="G24" s="21">
        <f t="shared" si="0"/>
        <v>-0.17607153492518388</v>
      </c>
      <c r="H24" s="21">
        <f t="shared" si="1"/>
        <v>0.8239284650748161</v>
      </c>
      <c r="I24" s="22">
        <f t="shared" si="5"/>
        <v>2.1148330057958278E-4</v>
      </c>
      <c r="J24" s="23">
        <f t="shared" si="2"/>
        <v>-12.665633571936251</v>
      </c>
      <c r="K24" s="23">
        <f t="shared" si="3"/>
        <v>-12.665633571936251</v>
      </c>
      <c r="L24" s="24">
        <f t="shared" si="6"/>
        <v>9.1314304916591649</v>
      </c>
      <c r="M24" s="24">
        <f t="shared" si="7"/>
        <v>0.21225229193773379</v>
      </c>
      <c r="N24" s="23">
        <f t="shared" si="8"/>
        <v>-0.64646723710623288</v>
      </c>
    </row>
    <row r="25" spans="3:14" x14ac:dyDescent="0.15">
      <c r="C25" s="18">
        <v>18250</v>
      </c>
      <c r="D25" s="19">
        <v>980</v>
      </c>
      <c r="E25" s="19">
        <v>161.93069306930693</v>
      </c>
      <c r="F25" s="20">
        <f t="shared" si="4"/>
        <v>0.33387715266491119</v>
      </c>
      <c r="G25" s="21">
        <f t="shared" si="0"/>
        <v>-0.22944692689826063</v>
      </c>
      <c r="H25" s="21">
        <f t="shared" si="1"/>
        <v>0.77055307310173937</v>
      </c>
      <c r="I25" s="22">
        <f t="shared" si="5"/>
        <v>2.5738369930443004E-4</v>
      </c>
      <c r="J25" s="23">
        <f t="shared" si="2"/>
        <v>-14.290553813104534</v>
      </c>
      <c r="K25" s="23">
        <f t="shared" si="3"/>
        <v>-14.290553813104534</v>
      </c>
      <c r="L25" s="24">
        <f t="shared" si="6"/>
        <v>10.70045801205732</v>
      </c>
      <c r="M25" s="24">
        <f t="shared" si="7"/>
        <v>0.1611515977783512</v>
      </c>
      <c r="N25" s="23">
        <f t="shared" si="8"/>
        <v>-0.61658503594926084</v>
      </c>
    </row>
    <row r="26" spans="3:14" x14ac:dyDescent="0.15">
      <c r="C26" s="18">
        <v>18500</v>
      </c>
      <c r="D26" s="19">
        <v>787.5</v>
      </c>
      <c r="E26" s="19">
        <v>220.26717557251908</v>
      </c>
      <c r="F26" s="20">
        <f t="shared" si="4"/>
        <v>0.32328574714241765</v>
      </c>
      <c r="G26" s="21">
        <f t="shared" si="0"/>
        <v>-0.29614339038394644</v>
      </c>
      <c r="H26" s="21">
        <f t="shared" si="1"/>
        <v>0.70385660961605356</v>
      </c>
      <c r="I26" s="22">
        <f t="shared" si="5"/>
        <v>3.0299200417253491E-4</v>
      </c>
      <c r="J26" s="23">
        <f t="shared" si="2"/>
        <v>-15.772440682724415</v>
      </c>
      <c r="K26" s="23">
        <f t="shared" si="3"/>
        <v>-15.772440682724415</v>
      </c>
      <c r="L26" s="24">
        <f t="shared" si="6"/>
        <v>12.196981170790799</v>
      </c>
      <c r="M26" s="24">
        <f t="shared" si="7"/>
        <v>9.6111917967296526E-2</v>
      </c>
      <c r="N26" s="23">
        <f t="shared" si="8"/>
        <v>-0.508604418253498</v>
      </c>
    </row>
    <row r="27" spans="3:14" x14ac:dyDescent="0.15">
      <c r="C27" s="18">
        <v>18750</v>
      </c>
      <c r="D27" s="19">
        <v>615.47619047619048</v>
      </c>
      <c r="E27" s="19">
        <v>298.52941176470586</v>
      </c>
      <c r="F27" s="20">
        <f t="shared" si="4"/>
        <v>0.31480782326400009</v>
      </c>
      <c r="G27" s="21">
        <f t="shared" si="0"/>
        <v>-0.37526160586720281</v>
      </c>
      <c r="H27" s="21">
        <f t="shared" si="1"/>
        <v>0.62473839413279719</v>
      </c>
      <c r="I27" s="22">
        <f t="shared" si="5"/>
        <v>3.4142505061325173E-4</v>
      </c>
      <c r="J27" s="23">
        <f t="shared" si="2"/>
        <v>-16.853147979973496</v>
      </c>
      <c r="K27" s="23">
        <f t="shared" si="3"/>
        <v>-16.853147979973496</v>
      </c>
      <c r="L27" s="24">
        <f t="shared" si="6"/>
        <v>13.383679450240601</v>
      </c>
      <c r="M27" s="24">
        <f t="shared" si="7"/>
        <v>3.5103213017970862E-2</v>
      </c>
      <c r="N27" s="23">
        <f t="shared" si="8"/>
        <v>-0.31287518463991482</v>
      </c>
    </row>
    <row r="28" spans="3:14" x14ac:dyDescent="0.15">
      <c r="C28" s="18">
        <v>19000</v>
      </c>
      <c r="D28" s="19">
        <v>467.5</v>
      </c>
      <c r="E28" s="19">
        <v>400</v>
      </c>
      <c r="F28" s="20">
        <f t="shared" si="4"/>
        <v>0.30833525565890357</v>
      </c>
      <c r="G28" s="21">
        <f t="shared" si="0"/>
        <v>-0.4636327365298249</v>
      </c>
      <c r="H28" s="21">
        <f t="shared" si="1"/>
        <v>0.53636726347017505</v>
      </c>
      <c r="I28" s="22">
        <f t="shared" si="5"/>
        <v>3.651405474213536E-4</v>
      </c>
      <c r="J28" s="23">
        <f t="shared" si="2"/>
        <v>-17.29024122698835</v>
      </c>
      <c r="K28" s="23">
        <f t="shared" si="3"/>
        <v>-17.29024122698835</v>
      </c>
      <c r="L28" s="24">
        <f t="shared" si="6"/>
        <v>14.019027105771283</v>
      </c>
      <c r="M28" s="24">
        <f t="shared" si="7"/>
        <v>1.420526523775139E-3</v>
      </c>
      <c r="N28" s="23">
        <f t="shared" si="8"/>
        <v>-4.4099067327099339E-2</v>
      </c>
    </row>
    <row r="29" spans="3:14" x14ac:dyDescent="0.15">
      <c r="C29" s="18">
        <v>19250</v>
      </c>
      <c r="D29" s="19">
        <v>345.58441558441558</v>
      </c>
      <c r="E29" s="19">
        <v>527.5</v>
      </c>
      <c r="F29" s="20">
        <f t="shared" si="4"/>
        <v>0.30433148455768644</v>
      </c>
      <c r="G29" s="21">
        <f t="shared" si="0"/>
        <v>-0.55581491145168616</v>
      </c>
      <c r="H29" s="21">
        <f t="shared" si="1"/>
        <v>0.44418508854831379</v>
      </c>
      <c r="I29" s="22">
        <f t="shared" si="5"/>
        <v>3.6784719950741707E-4</v>
      </c>
      <c r="J29" s="23">
        <f t="shared" si="2"/>
        <v>-16.96898406779837</v>
      </c>
      <c r="K29" s="23">
        <f t="shared" si="3"/>
        <v>-16.96898406779837</v>
      </c>
      <c r="L29" s="24">
        <f t="shared" si="6"/>
        <v>13.939556806339795</v>
      </c>
      <c r="M29" s="24">
        <f t="shared" si="7"/>
        <v>1.2645596852210204E-2</v>
      </c>
      <c r="N29" s="23">
        <f t="shared" si="8"/>
        <v>0.25530410467802866</v>
      </c>
    </row>
    <row r="30" spans="3:14" x14ac:dyDescent="0.15">
      <c r="C30" s="18">
        <v>19500</v>
      </c>
      <c r="D30" s="19">
        <v>249.62616822429908</v>
      </c>
      <c r="E30" s="19">
        <v>680</v>
      </c>
      <c r="F30" s="20">
        <f t="shared" si="4"/>
        <v>0.30321597782527049</v>
      </c>
      <c r="G30" s="21">
        <f t="shared" si="0"/>
        <v>-0.6446980796244649</v>
      </c>
      <c r="H30" s="21">
        <f t="shared" si="1"/>
        <v>0.35530192037553504</v>
      </c>
      <c r="I30" s="22">
        <f t="shared" si="5"/>
        <v>3.4805268915738882E-4</v>
      </c>
      <c r="J30" s="23">
        <f t="shared" si="2"/>
        <v>-15.938365336377494</v>
      </c>
      <c r="K30" s="23">
        <f t="shared" si="3"/>
        <v>-15.938365336377494</v>
      </c>
      <c r="L30" s="24">
        <f t="shared" si="6"/>
        <v>13.141099498359916</v>
      </c>
      <c r="M30" s="24">
        <f t="shared" si="7"/>
        <v>6.869026838560173E-2</v>
      </c>
      <c r="N30" s="23">
        <f t="shared" si="8"/>
        <v>0.52462727856195579</v>
      </c>
    </row>
    <row r="31" spans="3:14" x14ac:dyDescent="0.15">
      <c r="C31" s="18">
        <v>19750</v>
      </c>
      <c r="D31" s="19">
        <v>175.48611111111111</v>
      </c>
      <c r="E31" s="19">
        <v>857.5</v>
      </c>
      <c r="F31" s="20">
        <f t="shared" si="4"/>
        <v>0.30281743702436736</v>
      </c>
      <c r="G31" s="21">
        <f t="shared" si="0"/>
        <v>-0.72539103440328345</v>
      </c>
      <c r="H31" s="21">
        <f t="shared" si="1"/>
        <v>0.27460896559671655</v>
      </c>
      <c r="I31" s="22">
        <f t="shared" si="5"/>
        <v>3.120447199438344E-4</v>
      </c>
      <c r="J31" s="23">
        <f t="shared" si="2"/>
        <v>-14.251914750303127</v>
      </c>
      <c r="K31" s="23">
        <f t="shared" si="3"/>
        <v>-14.251914750303127</v>
      </c>
      <c r="L31" s="24">
        <f t="shared" si="6"/>
        <v>11.766094854336519</v>
      </c>
      <c r="M31" s="24">
        <f t="shared" si="7"/>
        <v>0.15242330710740365</v>
      </c>
      <c r="N31" s="23">
        <f t="shared" si="8"/>
        <v>0.72120102899147087</v>
      </c>
    </row>
    <row r="32" spans="3:14" x14ac:dyDescent="0.15">
      <c r="C32" s="18">
        <v>20000</v>
      </c>
      <c r="D32" s="19">
        <v>121.73076923076923</v>
      </c>
      <c r="E32" s="19">
        <v>1055</v>
      </c>
      <c r="F32" s="20">
        <f t="shared" si="4"/>
        <v>0.3045261755323555</v>
      </c>
      <c r="G32" s="21">
        <f t="shared" si="0"/>
        <v>-0.79345335289633212</v>
      </c>
      <c r="H32" s="21">
        <f t="shared" si="1"/>
        <v>0.20654664710366785</v>
      </c>
      <c r="I32" s="22">
        <f t="shared" si="5"/>
        <v>2.6558620283754873E-4</v>
      </c>
      <c r="J32" s="23">
        <f t="shared" si="2"/>
        <v>-12.267311271480537</v>
      </c>
      <c r="K32" s="23">
        <f t="shared" si="3"/>
        <v>-12.267311271480537</v>
      </c>
      <c r="L32" s="24">
        <f t="shared" si="6"/>
        <v>10.070818419825089</v>
      </c>
      <c r="M32" s="24">
        <f t="shared" si="7"/>
        <v>0.23678596116530307</v>
      </c>
      <c r="N32" s="23">
        <f t="shared" si="8"/>
        <v>0.81986075869737307</v>
      </c>
    </row>
    <row r="33" spans="2:14" x14ac:dyDescent="0.15">
      <c r="C33" s="18">
        <v>20250</v>
      </c>
      <c r="D33" s="19">
        <v>84.110671936758891</v>
      </c>
      <c r="E33" s="19">
        <v>1265</v>
      </c>
      <c r="F33" s="20">
        <f t="shared" si="4"/>
        <v>0.30823460395572244</v>
      </c>
      <c r="G33" s="21">
        <f t="shared" si="0"/>
        <v>-0.84748670383497182</v>
      </c>
      <c r="H33" s="21">
        <f t="shared" si="1"/>
        <v>0.15251329616502821</v>
      </c>
      <c r="I33" s="22">
        <f t="shared" si="5"/>
        <v>2.1674706714156877E-4</v>
      </c>
      <c r="J33" s="23">
        <f t="shared" si="2"/>
        <v>-10.256770422989506</v>
      </c>
      <c r="K33" s="23">
        <f t="shared" si="3"/>
        <v>-10.256770422989506</v>
      </c>
      <c r="L33" s="24">
        <f t="shared" si="6"/>
        <v>8.3189641034454382</v>
      </c>
      <c r="M33" s="24">
        <f t="shared" si="7"/>
        <v>0.29973967274819463</v>
      </c>
      <c r="N33" s="23">
        <f t="shared" si="8"/>
        <v>0.82813428471861317</v>
      </c>
    </row>
    <row r="34" spans="2:14" x14ac:dyDescent="0.15">
      <c r="C34" s="18">
        <v>20500</v>
      </c>
      <c r="D34" s="19">
        <v>56.811224489795919</v>
      </c>
      <c r="E34" s="19">
        <v>1490</v>
      </c>
      <c r="F34" s="20">
        <f t="shared" si="4"/>
        <v>0.31134273951820296</v>
      </c>
      <c r="G34" s="21">
        <f t="shared" si="0"/>
        <v>-0.89025071401672573</v>
      </c>
      <c r="H34" s="21">
        <f t="shared" si="1"/>
        <v>0.10974928598327431</v>
      </c>
      <c r="I34" s="22">
        <f t="shared" si="5"/>
        <v>1.7087265406408813E-4</v>
      </c>
      <c r="J34" s="23">
        <f t="shared" si="2"/>
        <v>-8.2498237221526214</v>
      </c>
      <c r="K34" s="23">
        <f t="shared" si="3"/>
        <v>-8.2498237221526214</v>
      </c>
      <c r="L34" s="24">
        <f t="shared" si="6"/>
        <v>6.6243906433461941</v>
      </c>
      <c r="M34" s="24">
        <f t="shared" si="7"/>
        <v>0.33583209735944825</v>
      </c>
      <c r="N34" s="23">
        <f t="shared" si="8"/>
        <v>0.77509514312473116</v>
      </c>
    </row>
    <row r="35" spans="2:14" x14ac:dyDescent="0.15">
      <c r="B35" s="7" t="str">
        <f>D3</f>
        <v>sq2</v>
      </c>
      <c r="C35" s="18">
        <v>14750</v>
      </c>
      <c r="D35" s="19">
        <v>4340</v>
      </c>
      <c r="E35" s="19">
        <v>27.123076923076923</v>
      </c>
      <c r="F35" s="20">
        <f>bs2_ivolat($D$7, $C35, 0, 0, $D$5, $D35, $E35)</f>
        <v>0.46642637731802383</v>
      </c>
      <c r="G35" s="21">
        <f t="shared" ref="G35:G58" si="9">bs2_delta_put($D$7, $C35, 0, 0, $D$5, $F35)</f>
        <v>-2.6039079005893553E-2</v>
      </c>
      <c r="H35" s="21">
        <f t="shared" ref="H35:H58" si="10">bs2_delta_call($D$7, $C35, 0, 0, $D$5, $F35)</f>
        <v>0.97396092099410647</v>
      </c>
      <c r="I35" s="22">
        <f>bs2_gamma($D$7, $C35, 0, 0, $D$5, $F35)</f>
        <v>2.3145052762291687E-5</v>
      </c>
      <c r="J35" s="23">
        <f t="shared" ref="J35:J58" si="11">bs2_theta_put($D$7, $C35, 0, 0, $D$5, $F35)/$B$5</f>
        <v>-2.5079507239146723</v>
      </c>
      <c r="K35" s="23">
        <f t="shared" ref="K35:K58" si="12">bs2_theta_call($D$7, $C35, 0, 0, $D$5, $F35)/$B$5</f>
        <v>-2.5079507239146723</v>
      </c>
      <c r="L35" s="24">
        <f>bs2_vega($D$7, $C35, 0, 0, $D$5, $F35)/100</f>
        <v>3.387477709025331</v>
      </c>
      <c r="M35" s="24">
        <f>bs2_vomma($D$7, $C35, 0, 0, $D$5, $F35)/10000</f>
        <v>0.2547064450348458</v>
      </c>
      <c r="N35" s="23">
        <f>bs2_vanna($D$7, $C35, 0, 0, $D$5, $F35)</f>
        <v>-0.23408008150317469</v>
      </c>
    </row>
    <row r="36" spans="2:14" x14ac:dyDescent="0.15">
      <c r="C36" s="18">
        <v>15000</v>
      </c>
      <c r="D36" s="19">
        <v>4100</v>
      </c>
      <c r="E36" s="19">
        <v>31.352941176470587</v>
      </c>
      <c r="F36" s="20">
        <f t="shared" ref="F36:F58" si="13">bs2_ivolat($D$7, $C36, 0, 0, $D$5, $D36, $E36)</f>
        <v>0.45180380463724235</v>
      </c>
      <c r="G36" s="21">
        <f t="shared" si="9"/>
        <v>-3.044036865995825E-2</v>
      </c>
      <c r="H36" s="21">
        <f t="shared" si="10"/>
        <v>0.96955963134004175</v>
      </c>
      <c r="I36" s="22">
        <f t="shared" ref="I36:I58" si="14">bs2_gamma($D$7, $C36, 0, 0, $D$5, $F36)</f>
        <v>2.7211698534779046E-5</v>
      </c>
      <c r="J36" s="23">
        <f t="shared" si="11"/>
        <v>-2.7666233458704901</v>
      </c>
      <c r="K36" s="23">
        <f t="shared" si="12"/>
        <v>-2.7666233458704901</v>
      </c>
      <c r="L36" s="24">
        <f t="shared" ref="L36:L58" si="15">bs2_vega($D$7, $C36, 0, 0, $D$5, $F36)/100</f>
        <v>3.8578088320833395</v>
      </c>
      <c r="M36" s="24">
        <f t="shared" ref="M36:M58" si="16">bs2_vomma($D$7, $C36, 0, 0, $D$5, $F36)/10000</f>
        <v>0.27874068403793617</v>
      </c>
      <c r="N36" s="23">
        <f t="shared" ref="N36:N58" si="17">bs2_vanna($D$7, $C36, 0, 0, $D$5, $F36)</f>
        <v>-0.26547879828477416</v>
      </c>
    </row>
    <row r="37" spans="2:14" x14ac:dyDescent="0.15">
      <c r="C37" s="18">
        <v>15250</v>
      </c>
      <c r="D37" s="19">
        <v>3850</v>
      </c>
      <c r="E37" s="19">
        <v>36.363636363636367</v>
      </c>
      <c r="F37" s="20">
        <f t="shared" si="13"/>
        <v>0.43738603130032616</v>
      </c>
      <c r="G37" s="21">
        <f t="shared" si="9"/>
        <v>-3.5678476471948016E-2</v>
      </c>
      <c r="H37" s="21">
        <f t="shared" si="10"/>
        <v>0.964321523528052</v>
      </c>
      <c r="I37" s="22">
        <f t="shared" si="14"/>
        <v>3.2038192296400429E-5</v>
      </c>
      <c r="J37" s="23">
        <f t="shared" si="11"/>
        <v>-3.0527584388976772</v>
      </c>
      <c r="K37" s="23">
        <f t="shared" si="12"/>
        <v>-3.0527584388976772</v>
      </c>
      <c r="L37" s="24">
        <f t="shared" si="15"/>
        <v>4.3971176006418169</v>
      </c>
      <c r="M37" s="24">
        <f t="shared" si="16"/>
        <v>0.30358866017252539</v>
      </c>
      <c r="N37" s="23">
        <f t="shared" si="17"/>
        <v>-0.30055533932441147</v>
      </c>
    </row>
    <row r="38" spans="2:14" x14ac:dyDescent="0.15">
      <c r="C38" s="18">
        <v>15500</v>
      </c>
      <c r="D38" s="19">
        <v>3610</v>
      </c>
      <c r="E38" s="19">
        <v>42.34375</v>
      </c>
      <c r="F38" s="20">
        <f t="shared" si="13"/>
        <v>0.42321214037208332</v>
      </c>
      <c r="G38" s="21">
        <f t="shared" si="9"/>
        <v>-4.1943161135717E-2</v>
      </c>
      <c r="H38" s="21">
        <f t="shared" si="10"/>
        <v>0.95805683886428294</v>
      </c>
      <c r="I38" s="22">
        <f t="shared" si="14"/>
        <v>3.7775451927649061E-5</v>
      </c>
      <c r="J38" s="23">
        <f t="shared" si="11"/>
        <v>-3.3699272275044976</v>
      </c>
      <c r="K38" s="23">
        <f t="shared" si="12"/>
        <v>-3.3699272275044976</v>
      </c>
      <c r="L38" s="24">
        <f t="shared" si="15"/>
        <v>5.0165246948286235</v>
      </c>
      <c r="M38" s="24">
        <f t="shared" si="16"/>
        <v>0.32870092276319296</v>
      </c>
      <c r="N38" s="23">
        <f t="shared" si="17"/>
        <v>-0.33946641283129458</v>
      </c>
    </row>
    <row r="39" spans="2:14" x14ac:dyDescent="0.15">
      <c r="C39" s="18">
        <v>15750</v>
      </c>
      <c r="D39" s="19">
        <v>3370</v>
      </c>
      <c r="E39" s="19">
        <v>50.730593607305934</v>
      </c>
      <c r="F39" s="20">
        <f t="shared" si="13"/>
        <v>0.41139763127873752</v>
      </c>
      <c r="G39" s="21">
        <f t="shared" si="9"/>
        <v>-5.0264159215385545E-2</v>
      </c>
      <c r="H39" s="21">
        <f t="shared" si="10"/>
        <v>0.94973584078461448</v>
      </c>
      <c r="I39" s="22">
        <f t="shared" si="14"/>
        <v>4.4942155043522628E-5</v>
      </c>
      <c r="J39" s="23">
        <f t="shared" si="11"/>
        <v>-3.7885418242743527</v>
      </c>
      <c r="K39" s="23">
        <f t="shared" si="12"/>
        <v>-3.7885418242743527</v>
      </c>
      <c r="L39" s="24">
        <f t="shared" si="15"/>
        <v>5.8016409619911187</v>
      </c>
      <c r="M39" s="24">
        <f t="shared" si="16"/>
        <v>0.35236762921010883</v>
      </c>
      <c r="N39" s="23">
        <f t="shared" si="17"/>
        <v>-0.38302451135495275</v>
      </c>
    </row>
    <row r="40" spans="2:14" x14ac:dyDescent="0.15">
      <c r="C40" s="18">
        <v>16000</v>
      </c>
      <c r="D40" s="19">
        <v>3125</v>
      </c>
      <c r="E40" s="19">
        <v>60</v>
      </c>
      <c r="F40" s="20">
        <f t="shared" si="13"/>
        <v>0.39842188136331208</v>
      </c>
      <c r="G40" s="21">
        <f t="shared" si="9"/>
        <v>-5.9692543172790061E-2</v>
      </c>
      <c r="H40" s="21">
        <f t="shared" si="10"/>
        <v>0.94030745682720995</v>
      </c>
      <c r="I40" s="22">
        <f t="shared" si="14"/>
        <v>5.3160240637198833E-5</v>
      </c>
      <c r="J40" s="23">
        <f t="shared" si="11"/>
        <v>-4.2030825595559502</v>
      </c>
      <c r="K40" s="23">
        <f t="shared" si="12"/>
        <v>-4.2030825595559502</v>
      </c>
      <c r="L40" s="24">
        <f t="shared" si="15"/>
        <v>6.646075771389798</v>
      </c>
      <c r="M40" s="24">
        <f t="shared" si="16"/>
        <v>0.37416969192753574</v>
      </c>
      <c r="N40" s="23">
        <f t="shared" si="17"/>
        <v>-0.42890591828758451</v>
      </c>
    </row>
    <row r="41" spans="2:14" x14ac:dyDescent="0.15">
      <c r="C41" s="18">
        <v>16250</v>
      </c>
      <c r="D41" s="19">
        <v>2890</v>
      </c>
      <c r="E41" s="19">
        <v>70.067114093959731</v>
      </c>
      <c r="F41" s="20">
        <f t="shared" si="13"/>
        <v>0.38416370504048369</v>
      </c>
      <c r="G41" s="21">
        <f t="shared" si="9"/>
        <v>-7.0306200865635063E-2</v>
      </c>
      <c r="H41" s="21">
        <f t="shared" si="10"/>
        <v>0.9296937991343649</v>
      </c>
      <c r="I41" s="22">
        <f t="shared" si="14"/>
        <v>6.2603156997543597E-5</v>
      </c>
      <c r="J41" s="23">
        <f t="shared" si="11"/>
        <v>-4.6017552451363724</v>
      </c>
      <c r="K41" s="23">
        <f t="shared" si="12"/>
        <v>-4.6017552451363724</v>
      </c>
      <c r="L41" s="24">
        <f t="shared" si="15"/>
        <v>7.5465374953378355</v>
      </c>
      <c r="M41" s="24">
        <f t="shared" si="16"/>
        <v>0.393853735280979</v>
      </c>
      <c r="N41" s="23">
        <f t="shared" si="17"/>
        <v>-0.47715880658110715</v>
      </c>
    </row>
    <row r="42" spans="2:14" x14ac:dyDescent="0.15">
      <c r="C42" s="18">
        <v>16500</v>
      </c>
      <c r="D42" s="19">
        <v>2655</v>
      </c>
      <c r="E42" s="19">
        <v>85.198412698412696</v>
      </c>
      <c r="F42" s="20">
        <f t="shared" si="13"/>
        <v>0.37360307987226282</v>
      </c>
      <c r="G42" s="21">
        <f t="shared" si="9"/>
        <v>-8.4889678014752432E-2</v>
      </c>
      <c r="H42" s="21">
        <f t="shared" si="10"/>
        <v>0.91511032198524755</v>
      </c>
      <c r="I42" s="22">
        <f t="shared" si="14"/>
        <v>7.428190895028608E-5</v>
      </c>
      <c r="J42" s="23">
        <f t="shared" si="11"/>
        <v>-5.1641466931022793</v>
      </c>
      <c r="K42" s="23">
        <f t="shared" si="12"/>
        <v>-5.1641466931022793</v>
      </c>
      <c r="L42" s="24">
        <f t="shared" si="15"/>
        <v>8.7082055580665934</v>
      </c>
      <c r="M42" s="24">
        <f t="shared" si="16"/>
        <v>0.40422175021999202</v>
      </c>
      <c r="N42" s="23">
        <f t="shared" si="17"/>
        <v>-0.52560431481332015</v>
      </c>
    </row>
    <row r="43" spans="2:14" x14ac:dyDescent="0.15">
      <c r="C43" s="18">
        <v>16750</v>
      </c>
      <c r="D43" s="19">
        <v>2420</v>
      </c>
      <c r="E43" s="19">
        <v>102.92929292929293</v>
      </c>
      <c r="F43" s="20">
        <f t="shared" si="13"/>
        <v>0.36246713115812323</v>
      </c>
      <c r="G43" s="21">
        <f t="shared" si="9"/>
        <v>-0.10194496142674714</v>
      </c>
      <c r="H43" s="21">
        <f t="shared" si="10"/>
        <v>0.89805503857325286</v>
      </c>
      <c r="I43" s="22">
        <f t="shared" si="14"/>
        <v>8.7656718271967758E-5</v>
      </c>
      <c r="J43" s="23">
        <f t="shared" si="11"/>
        <v>-5.7361049282038197</v>
      </c>
      <c r="K43" s="23">
        <f t="shared" si="12"/>
        <v>-5.7361049282038197</v>
      </c>
      <c r="L43" s="24">
        <f t="shared" si="15"/>
        <v>9.9698587654612485</v>
      </c>
      <c r="M43" s="24">
        <f t="shared" si="16"/>
        <v>0.40680693432638115</v>
      </c>
      <c r="N43" s="23">
        <f t="shared" si="17"/>
        <v>-0.57158387685145651</v>
      </c>
    </row>
    <row r="44" spans="2:14" x14ac:dyDescent="0.15">
      <c r="C44" s="18">
        <v>17000</v>
      </c>
      <c r="D44" s="19">
        <v>2195</v>
      </c>
      <c r="E44" s="19">
        <v>124.27007299270073</v>
      </c>
      <c r="F44" s="20">
        <f t="shared" si="13"/>
        <v>0.35128675305720475</v>
      </c>
      <c r="G44" s="21">
        <f t="shared" si="9"/>
        <v>-0.12219422903070787</v>
      </c>
      <c r="H44" s="21">
        <f t="shared" si="10"/>
        <v>0.87780577096929213</v>
      </c>
      <c r="I44" s="22">
        <f t="shared" si="14"/>
        <v>1.0296136401846125E-4</v>
      </c>
      <c r="J44" s="23">
        <f t="shared" si="11"/>
        <v>-6.3283785835372752</v>
      </c>
      <c r="K44" s="23">
        <f t="shared" si="12"/>
        <v>-6.3283785835372752</v>
      </c>
      <c r="L44" s="24">
        <f t="shared" si="15"/>
        <v>11.349356253633754</v>
      </c>
      <c r="M44" s="24">
        <f t="shared" si="16"/>
        <v>0.39899338662269557</v>
      </c>
      <c r="N44" s="23">
        <f t="shared" si="17"/>
        <v>-0.61187441861527281</v>
      </c>
    </row>
    <row r="45" spans="2:14" x14ac:dyDescent="0.15">
      <c r="C45" s="18">
        <v>17250</v>
      </c>
      <c r="D45" s="19">
        <v>1965</v>
      </c>
      <c r="E45" s="19">
        <v>150.57077625570776</v>
      </c>
      <c r="F45" s="20">
        <f t="shared" si="13"/>
        <v>0.34054445619275464</v>
      </c>
      <c r="G45" s="21">
        <f t="shared" si="9"/>
        <v>-0.14647404489721025</v>
      </c>
      <c r="H45" s="21">
        <f t="shared" si="10"/>
        <v>0.85352595510278972</v>
      </c>
      <c r="I45" s="22">
        <f t="shared" si="14"/>
        <v>1.2029532992428541E-4</v>
      </c>
      <c r="J45" s="23">
        <f t="shared" si="11"/>
        <v>-6.9484992628922155</v>
      </c>
      <c r="K45" s="23">
        <f t="shared" si="12"/>
        <v>-6.9484992628922155</v>
      </c>
      <c r="L45" s="24">
        <f t="shared" si="15"/>
        <v>12.854575830018259</v>
      </c>
      <c r="M45" s="24">
        <f t="shared" si="16"/>
        <v>0.37777757114875682</v>
      </c>
      <c r="N45" s="23">
        <f t="shared" si="17"/>
        <v>-0.6412634034298903</v>
      </c>
    </row>
    <row r="46" spans="2:14" x14ac:dyDescent="0.15">
      <c r="C46" s="18">
        <v>17500</v>
      </c>
      <c r="D46" s="19">
        <v>1750</v>
      </c>
      <c r="E46" s="19">
        <v>184.78260869565219</v>
      </c>
      <c r="F46" s="20">
        <f t="shared" si="13"/>
        <v>0.33151722069919354</v>
      </c>
      <c r="G46" s="21">
        <f t="shared" si="9"/>
        <v>-0.17621599418201428</v>
      </c>
      <c r="H46" s="21">
        <f t="shared" si="10"/>
        <v>0.82378400581798572</v>
      </c>
      <c r="I46" s="22">
        <f t="shared" si="14"/>
        <v>1.3941942237785979E-4</v>
      </c>
      <c r="J46" s="23">
        <f t="shared" si="11"/>
        <v>-7.6318545261432984</v>
      </c>
      <c r="K46" s="23">
        <f t="shared" si="12"/>
        <v>-7.6318545261432984</v>
      </c>
      <c r="L46" s="24">
        <f t="shared" si="15"/>
        <v>14.503223516804701</v>
      </c>
      <c r="M46" s="24">
        <f t="shared" si="16"/>
        <v>0.33866208518172741</v>
      </c>
      <c r="N46" s="23">
        <f t="shared" si="17"/>
        <v>-0.65016115304265865</v>
      </c>
    </row>
    <row r="47" spans="2:14" x14ac:dyDescent="0.15">
      <c r="C47" s="18">
        <v>17750</v>
      </c>
      <c r="D47" s="19">
        <v>1540</v>
      </c>
      <c r="E47" s="19">
        <v>223.16546762589928</v>
      </c>
      <c r="F47" s="20">
        <f t="shared" si="13"/>
        <v>0.32070097773010997</v>
      </c>
      <c r="G47" s="21">
        <f t="shared" si="9"/>
        <v>-0.20970258289468283</v>
      </c>
      <c r="H47" s="21">
        <f t="shared" si="10"/>
        <v>0.7902974171053172</v>
      </c>
      <c r="I47" s="22">
        <f t="shared" si="14"/>
        <v>1.6029364764750785E-4</v>
      </c>
      <c r="J47" s="23">
        <f t="shared" si="11"/>
        <v>-8.2112920442171085</v>
      </c>
      <c r="K47" s="23">
        <f t="shared" si="12"/>
        <v>-8.2112920442171085</v>
      </c>
      <c r="L47" s="24">
        <f t="shared" si="15"/>
        <v>16.13064613794311</v>
      </c>
      <c r="M47" s="24">
        <f t="shared" si="16"/>
        <v>0.28967108574826128</v>
      </c>
      <c r="N47" s="23">
        <f t="shared" si="17"/>
        <v>-0.64042765434700732</v>
      </c>
    </row>
    <row r="48" spans="2:14" x14ac:dyDescent="0.15">
      <c r="C48" s="18">
        <v>18000</v>
      </c>
      <c r="D48" s="19">
        <v>1340</v>
      </c>
      <c r="E48" s="19">
        <v>274</v>
      </c>
      <c r="F48" s="20">
        <f t="shared" si="13"/>
        <v>0.31255532395320462</v>
      </c>
      <c r="G48" s="21">
        <f t="shared" si="9"/>
        <v>-0.25023512795988823</v>
      </c>
      <c r="H48" s="21">
        <f t="shared" si="10"/>
        <v>0.74976487204011177</v>
      </c>
      <c r="I48" s="22">
        <f t="shared" si="14"/>
        <v>1.8159087704610726E-4</v>
      </c>
      <c r="J48" s="23">
        <f t="shared" si="11"/>
        <v>-8.8357302133737434</v>
      </c>
      <c r="K48" s="23">
        <f t="shared" si="12"/>
        <v>-8.8357302133737434</v>
      </c>
      <c r="L48" s="24">
        <f t="shared" si="15"/>
        <v>17.809679144223665</v>
      </c>
      <c r="M48" s="24">
        <f t="shared" si="16"/>
        <v>0.22340797689784073</v>
      </c>
      <c r="N48" s="23">
        <f t="shared" si="17"/>
        <v>-0.59194648560458618</v>
      </c>
    </row>
    <row r="49" spans="2:14" x14ac:dyDescent="0.15">
      <c r="C49" s="18">
        <v>18250</v>
      </c>
      <c r="D49" s="19">
        <v>1150</v>
      </c>
      <c r="E49" s="19">
        <v>335.14084507042253</v>
      </c>
      <c r="F49" s="20">
        <f t="shared" si="13"/>
        <v>0.3046020867320175</v>
      </c>
      <c r="G49" s="21">
        <f t="shared" si="9"/>
        <v>-0.29638352848816102</v>
      </c>
      <c r="H49" s="21">
        <f t="shared" si="10"/>
        <v>0.70361647151183893</v>
      </c>
      <c r="I49" s="22">
        <f t="shared" si="14"/>
        <v>2.026497289421977E-4</v>
      </c>
      <c r="J49" s="23">
        <f t="shared" si="11"/>
        <v>-9.3649700852484958</v>
      </c>
      <c r="K49" s="23">
        <f t="shared" si="12"/>
        <v>-9.3649700852484958</v>
      </c>
      <c r="L49" s="24">
        <f t="shared" si="15"/>
        <v>19.369306418761301</v>
      </c>
      <c r="M49" s="24">
        <f t="shared" si="16"/>
        <v>0.15145933631217345</v>
      </c>
      <c r="N49" s="23">
        <f t="shared" si="17"/>
        <v>-0.50554793591612202</v>
      </c>
    </row>
    <row r="50" spans="2:14" x14ac:dyDescent="0.15">
      <c r="C50" s="18">
        <v>18500</v>
      </c>
      <c r="D50" s="19">
        <v>977.5</v>
      </c>
      <c r="E50" s="19">
        <v>407.76315789473682</v>
      </c>
      <c r="F50" s="20">
        <f t="shared" si="13"/>
        <v>0.29668796837588496</v>
      </c>
      <c r="G50" s="21">
        <f t="shared" si="9"/>
        <v>-0.34803235997857768</v>
      </c>
      <c r="H50" s="21">
        <f t="shared" si="10"/>
        <v>0.65196764002142238</v>
      </c>
      <c r="I50" s="22">
        <f t="shared" si="14"/>
        <v>2.2241099549491237E-4</v>
      </c>
      <c r="J50" s="23">
        <f t="shared" si="11"/>
        <v>-9.7510356029367991</v>
      </c>
      <c r="K50" s="23">
        <f t="shared" si="12"/>
        <v>-9.7510356029367991</v>
      </c>
      <c r="L50" s="24">
        <f t="shared" si="15"/>
        <v>20.705768634564905</v>
      </c>
      <c r="M50" s="24">
        <f t="shared" si="16"/>
        <v>8.273633322548149E-2</v>
      </c>
      <c r="N50" s="23">
        <f t="shared" si="17"/>
        <v>-0.37809756647488274</v>
      </c>
    </row>
    <row r="51" spans="2:14" x14ac:dyDescent="0.15">
      <c r="C51" s="18">
        <v>18750</v>
      </c>
      <c r="D51" s="19">
        <v>823.91025641025635</v>
      </c>
      <c r="E51" s="19">
        <v>499.70588235294116</v>
      </c>
      <c r="F51" s="20">
        <f t="shared" si="13"/>
        <v>0.29176337784156336</v>
      </c>
      <c r="G51" s="21">
        <f t="shared" si="9"/>
        <v>-0.40548846312631026</v>
      </c>
      <c r="H51" s="21">
        <f t="shared" si="10"/>
        <v>0.59451153687368974</v>
      </c>
      <c r="I51" s="22">
        <f t="shared" si="14"/>
        <v>2.372142613753814E-4</v>
      </c>
      <c r="J51" s="23">
        <f t="shared" si="11"/>
        <v>-10.057660477269462</v>
      </c>
      <c r="K51" s="23">
        <f t="shared" si="12"/>
        <v>-10.057660477269462</v>
      </c>
      <c r="L51" s="24">
        <f t="shared" si="15"/>
        <v>21.717345568025966</v>
      </c>
      <c r="M51" s="24">
        <f t="shared" si="16"/>
        <v>2.7318379227648588E-2</v>
      </c>
      <c r="N51" s="23">
        <f t="shared" si="17"/>
        <v>-0.20390967398387017</v>
      </c>
    </row>
    <row r="52" spans="2:14" x14ac:dyDescent="0.15">
      <c r="C52" s="18">
        <v>19000</v>
      </c>
      <c r="D52" s="19">
        <v>675</v>
      </c>
      <c r="E52" s="19">
        <v>601.29310344827582</v>
      </c>
      <c r="F52" s="20">
        <f t="shared" si="13"/>
        <v>0.28464614013461842</v>
      </c>
      <c r="G52" s="21">
        <f t="shared" si="9"/>
        <v>-0.46627661594830783</v>
      </c>
      <c r="H52" s="21">
        <f t="shared" si="10"/>
        <v>0.53372338405169217</v>
      </c>
      <c r="I52" s="22">
        <f t="shared" si="14"/>
        <v>2.4930547820644272E-4</v>
      </c>
      <c r="J52" s="23">
        <f t="shared" si="11"/>
        <v>-10.060904779114152</v>
      </c>
      <c r="K52" s="23">
        <f t="shared" si="12"/>
        <v>-10.060904779114152</v>
      </c>
      <c r="L52" s="24">
        <f t="shared" si="15"/>
        <v>22.267542457608226</v>
      </c>
      <c r="M52" s="24">
        <f t="shared" si="16"/>
        <v>6.7000332533456123E-5</v>
      </c>
      <c r="N52" s="23">
        <f t="shared" si="17"/>
        <v>-1.4132563461747758E-3</v>
      </c>
    </row>
    <row r="53" spans="2:14" x14ac:dyDescent="0.15">
      <c r="C53" s="18">
        <v>19250</v>
      </c>
      <c r="D53" s="19">
        <v>545.18181818181813</v>
      </c>
      <c r="E53" s="19">
        <v>728.03921568627447</v>
      </c>
      <c r="F53" s="20">
        <f t="shared" si="13"/>
        <v>0.28152209393013738</v>
      </c>
      <c r="G53" s="21">
        <f t="shared" si="9"/>
        <v>-0.52926071983095768</v>
      </c>
      <c r="H53" s="21">
        <f t="shared" si="10"/>
        <v>0.47073928016904226</v>
      </c>
      <c r="I53" s="22">
        <f t="shared" si="14"/>
        <v>2.5229563602702888E-4</v>
      </c>
      <c r="J53" s="23">
        <f t="shared" si="11"/>
        <v>-9.9593117154367707</v>
      </c>
      <c r="K53" s="23">
        <f t="shared" si="12"/>
        <v>-9.9593117154367707</v>
      </c>
      <c r="L53" s="24">
        <f t="shared" si="15"/>
        <v>22.28729650711611</v>
      </c>
      <c r="M53" s="24">
        <f t="shared" si="16"/>
        <v>9.0730209205591352E-3</v>
      </c>
      <c r="N53" s="23">
        <f t="shared" si="17"/>
        <v>0.22063300570555699</v>
      </c>
    </row>
    <row r="54" spans="2:14" x14ac:dyDescent="0.15">
      <c r="C54" s="18">
        <v>19500</v>
      </c>
      <c r="D54" s="19">
        <v>438.75</v>
      </c>
      <c r="E54" s="19">
        <v>868.18965517241384</v>
      </c>
      <c r="F54" s="20">
        <f t="shared" si="13"/>
        <v>0.27942446255650738</v>
      </c>
      <c r="G54" s="21">
        <f t="shared" si="9"/>
        <v>-0.59164291505133948</v>
      </c>
      <c r="H54" s="21">
        <f t="shared" si="10"/>
        <v>0.40835708494866046</v>
      </c>
      <c r="I54" s="22">
        <f t="shared" si="14"/>
        <v>2.4812078883261186E-4</v>
      </c>
      <c r="J54" s="23">
        <f t="shared" si="11"/>
        <v>-9.6490958516600926</v>
      </c>
      <c r="K54" s="23">
        <f t="shared" si="12"/>
        <v>-9.6490958516600926</v>
      </c>
      <c r="L54" s="24">
        <f t="shared" si="15"/>
        <v>21.755183246765768</v>
      </c>
      <c r="M54" s="24">
        <f t="shared" si="16"/>
        <v>5.6636690076000751E-2</v>
      </c>
      <c r="N54" s="23">
        <f t="shared" si="17"/>
        <v>0.43623132708323403</v>
      </c>
    </row>
    <row r="55" spans="2:14" x14ac:dyDescent="0.15">
      <c r="C55" s="18">
        <v>19750</v>
      </c>
      <c r="D55" s="19">
        <v>347.61780104712039</v>
      </c>
      <c r="E55" s="19">
        <v>1030</v>
      </c>
      <c r="F55" s="20">
        <f t="shared" si="13"/>
        <v>0.27740738080153965</v>
      </c>
      <c r="G55" s="21">
        <f t="shared" si="9"/>
        <v>-0.6518689957785182</v>
      </c>
      <c r="H55" s="21">
        <f t="shared" si="10"/>
        <v>0.34813100422148185</v>
      </c>
      <c r="I55" s="22">
        <f t="shared" si="14"/>
        <v>2.3789396990144031E-4</v>
      </c>
      <c r="J55" s="23">
        <f t="shared" si="11"/>
        <v>-9.118304190036989</v>
      </c>
      <c r="K55" s="23">
        <f t="shared" si="12"/>
        <v>-9.118304190036989</v>
      </c>
      <c r="L55" s="24">
        <f t="shared" si="15"/>
        <v>20.707926455039082</v>
      </c>
      <c r="M55" s="24">
        <f t="shared" si="16"/>
        <v>0.13750389417581843</v>
      </c>
      <c r="N55" s="23">
        <f t="shared" si="17"/>
        <v>0.62880992669987268</v>
      </c>
    </row>
    <row r="56" spans="2:14" x14ac:dyDescent="0.15">
      <c r="C56" s="18">
        <v>20000</v>
      </c>
      <c r="D56" s="19">
        <v>271.57894736842104</v>
      </c>
      <c r="E56" s="19">
        <v>1205</v>
      </c>
      <c r="F56" s="20">
        <f t="shared" si="13"/>
        <v>0.27577916081496284</v>
      </c>
      <c r="G56" s="21">
        <f t="shared" si="9"/>
        <v>-0.70829793718631406</v>
      </c>
      <c r="H56" s="21">
        <f t="shared" si="10"/>
        <v>0.29170206281368588</v>
      </c>
      <c r="I56" s="22">
        <f t="shared" si="14"/>
        <v>2.2218824471136926E-4</v>
      </c>
      <c r="J56" s="23">
        <f t="shared" si="11"/>
        <v>-8.4166368322970815</v>
      </c>
      <c r="K56" s="23">
        <f t="shared" si="12"/>
        <v>-8.4166368322970815</v>
      </c>
      <c r="L56" s="24">
        <f t="shared" si="15"/>
        <v>19.227272969711159</v>
      </c>
      <c r="M56" s="24">
        <f t="shared" si="16"/>
        <v>0.24066872579579726</v>
      </c>
      <c r="N56" s="23">
        <f t="shared" si="17"/>
        <v>0.78341075662731063</v>
      </c>
    </row>
    <row r="57" spans="2:14" x14ac:dyDescent="0.15">
      <c r="C57" s="18">
        <v>20250</v>
      </c>
      <c r="D57" s="19">
        <v>213.87755102040816</v>
      </c>
      <c r="E57" s="19">
        <v>1390</v>
      </c>
      <c r="F57" s="20">
        <f t="shared" si="13"/>
        <v>0.27712609908424118</v>
      </c>
      <c r="G57" s="21">
        <f t="shared" si="9"/>
        <v>-0.75739517980568904</v>
      </c>
      <c r="H57" s="21">
        <f t="shared" si="10"/>
        <v>0.24260482019431096</v>
      </c>
      <c r="I57" s="22">
        <f t="shared" si="14"/>
        <v>2.0143542402950476E-4</v>
      </c>
      <c r="J57" s="23">
        <f t="shared" si="11"/>
        <v>-7.7052249631763781</v>
      </c>
      <c r="K57" s="23">
        <f t="shared" si="12"/>
        <v>-7.7052249631763781</v>
      </c>
      <c r="L57" s="24">
        <f t="shared" si="15"/>
        <v>17.516544788968087</v>
      </c>
      <c r="M57" s="24">
        <f t="shared" si="16"/>
        <v>0.34382055013150764</v>
      </c>
      <c r="N57" s="23">
        <f t="shared" si="17"/>
        <v>0.87940970286886111</v>
      </c>
    </row>
    <row r="58" spans="2:14" x14ac:dyDescent="0.15">
      <c r="C58" s="18">
        <v>20500</v>
      </c>
      <c r="D58" s="19">
        <v>165.86956521739131</v>
      </c>
      <c r="E58" s="19">
        <v>1595</v>
      </c>
      <c r="F58" s="20">
        <f t="shared" si="13"/>
        <v>0.27784779724969083</v>
      </c>
      <c r="G58" s="21">
        <f t="shared" si="9"/>
        <v>-0.8012929976743407</v>
      </c>
      <c r="H58" s="21">
        <f t="shared" si="10"/>
        <v>0.19870700232565927</v>
      </c>
      <c r="I58" s="22">
        <f t="shared" si="14"/>
        <v>1.7917542336215469E-4</v>
      </c>
      <c r="J58" s="23">
        <f t="shared" si="11"/>
        <v>-6.8894884167831396</v>
      </c>
      <c r="K58" s="23">
        <f t="shared" si="12"/>
        <v>-6.8894884167831396</v>
      </c>
      <c r="L58" s="24">
        <f t="shared" si="15"/>
        <v>15.621422035866829</v>
      </c>
      <c r="M58" s="24">
        <f t="shared" si="16"/>
        <v>0.441468456519506</v>
      </c>
      <c r="N58" s="23">
        <f t="shared" si="17"/>
        <v>0.93128833365976038</v>
      </c>
    </row>
    <row r="59" spans="2:14" x14ac:dyDescent="0.15">
      <c r="B59" s="7" t="str">
        <f>E3</f>
        <v>sq3</v>
      </c>
      <c r="C59" s="18">
        <v>14750</v>
      </c>
      <c r="D59" s="19">
        <v>1</v>
      </c>
      <c r="E59" s="19">
        <v>52.75</v>
      </c>
      <c r="F59" s="20">
        <f>bs2_ivolat($E$7, $C59, 0, 0, $E$5, $D59, $E59)</f>
        <v>0.41275052406752671</v>
      </c>
      <c r="G59" s="21">
        <f t="shared" ref="G59:G82" si="18">bs2_delta_put($E$7, $C59, 0, 0, $E$5, $F59)</f>
        <v>-4.148448283392589E-2</v>
      </c>
      <c r="H59" s="21">
        <f t="shared" ref="H59:H82" si="19">bs2_delta_call($E$7, $C59, 0, 0, $E$5, $F59)</f>
        <v>0.95851551716607408</v>
      </c>
      <c r="I59" s="22">
        <f>bs2_gamma($E$7, $C59, 0, 0, $E$5, $F59)</f>
        <v>3.0023682827529284E-5</v>
      </c>
      <c r="J59" s="23">
        <f t="shared" ref="J59:J82" si="20">bs2_theta_put($E$7, $C59, 0, 0, $E$5, $F59)/$B$5</f>
        <v>-2.5476153035488718</v>
      </c>
      <c r="K59" s="23">
        <f t="shared" ref="K59:K82" si="21">bs2_theta_call($E$7, $C59, 0, 0, $E$5, $F59)/$B$5</f>
        <v>-2.5476153035488718</v>
      </c>
      <c r="L59" s="24">
        <f>bs2_vega($E$7, $C59, 0, 0, $E$5, $F59)/100</f>
        <v>6.3574571312380446</v>
      </c>
      <c r="M59" s="24">
        <f>bs2_vomma($E$7, $C59, 0, 0, $E$5, $F59)/10000</f>
        <v>0.42156545288220731</v>
      </c>
      <c r="N59" s="23">
        <f>bs2_vanna($E$7, $C59, 0, 0, $E$5, $F59)</f>
        <v>-0.33948604175448849</v>
      </c>
    </row>
    <row r="60" spans="2:14" x14ac:dyDescent="0.15">
      <c r="C60" s="18">
        <v>15000</v>
      </c>
      <c r="D60" s="19">
        <v>1</v>
      </c>
      <c r="E60" s="19">
        <v>62.5</v>
      </c>
      <c r="F60" s="20">
        <f t="shared" ref="F60:F82" si="22">bs2_ivolat($E$7, $C60, 0, 0, $E$5, $D60, $E60)</f>
        <v>0.40441720890793081</v>
      </c>
      <c r="G60" s="21">
        <f t="shared" si="18"/>
        <v>-4.8897731162817024E-2</v>
      </c>
      <c r="H60" s="21">
        <f t="shared" si="19"/>
        <v>0.95110226883718296</v>
      </c>
      <c r="I60" s="22">
        <f t="shared" ref="I60:I82" si="23">bs2_gamma($E$7, $C60, 0, 0, $E$5, $F60)</f>
        <v>3.4977227445331124E-5</v>
      </c>
      <c r="J60" s="23">
        <f t="shared" si="20"/>
        <v>-2.8493070656981967</v>
      </c>
      <c r="K60" s="23">
        <f t="shared" si="21"/>
        <v>-2.8493070656981967</v>
      </c>
      <c r="L60" s="24">
        <f t="shared" ref="L60:L82" si="24">bs2_vega($E$7, $C60, 0, 0, $E$5, $F60)/100</f>
        <v>7.2568283767995458</v>
      </c>
      <c r="M60" s="24">
        <f t="shared" ref="M60:M82" si="25">bs2_vomma($E$7, $C60, 0, 0, $E$5, $F60)/10000</f>
        <v>0.44673594719194126</v>
      </c>
      <c r="N60" s="23">
        <f t="shared" ref="N60:N82" si="26">bs2_vanna($E$7, $C60, 0, 0, $E$5, $F60)</f>
        <v>-0.37672118671769889</v>
      </c>
    </row>
    <row r="61" spans="2:14" x14ac:dyDescent="0.15">
      <c r="C61" s="18">
        <v>15250</v>
      </c>
      <c r="D61" s="19">
        <v>1</v>
      </c>
      <c r="E61" s="19">
        <v>70</v>
      </c>
      <c r="F61" s="20">
        <f t="shared" si="22"/>
        <v>0.39129323897463242</v>
      </c>
      <c r="G61" s="21">
        <f t="shared" si="18"/>
        <v>-5.5502215711048276E-2</v>
      </c>
      <c r="H61" s="21">
        <f t="shared" si="19"/>
        <v>0.9444977842889517</v>
      </c>
      <c r="I61" s="22">
        <f t="shared" si="23"/>
        <v>3.9977681382159002E-5</v>
      </c>
      <c r="J61" s="23">
        <f t="shared" si="20"/>
        <v>-3.0487155722897445</v>
      </c>
      <c r="K61" s="23">
        <f t="shared" si="21"/>
        <v>-3.0487155722897445</v>
      </c>
      <c r="L61" s="24">
        <f t="shared" si="24"/>
        <v>8.0251247061849043</v>
      </c>
      <c r="M61" s="24">
        <f t="shared" si="25"/>
        <v>0.47286518218876206</v>
      </c>
      <c r="N61" s="23">
        <f t="shared" si="26"/>
        <v>-0.41425359657798155</v>
      </c>
    </row>
    <row r="62" spans="2:14" x14ac:dyDescent="0.15">
      <c r="C62" s="18">
        <v>15500</v>
      </c>
      <c r="D62" s="19">
        <v>1</v>
      </c>
      <c r="E62" s="19">
        <v>82.5</v>
      </c>
      <c r="F62" s="20">
        <f t="shared" si="22"/>
        <v>0.38264614243376238</v>
      </c>
      <c r="G62" s="21">
        <f t="shared" si="18"/>
        <v>-6.5102532817310543E-2</v>
      </c>
      <c r="H62" s="21">
        <f t="shared" si="19"/>
        <v>0.9348974671826894</v>
      </c>
      <c r="I62" s="22">
        <f t="shared" si="23"/>
        <v>4.6319826846852862E-5</v>
      </c>
      <c r="J62" s="23">
        <f t="shared" si="20"/>
        <v>-3.3779733964999608</v>
      </c>
      <c r="K62" s="23">
        <f t="shared" si="21"/>
        <v>-3.3779733964999608</v>
      </c>
      <c r="L62" s="24">
        <f t="shared" si="24"/>
        <v>9.0927679977781128</v>
      </c>
      <c r="M62" s="24">
        <f t="shared" si="25"/>
        <v>0.49249702909490195</v>
      </c>
      <c r="N62" s="23">
        <f t="shared" si="26"/>
        <v>-0.45437497911851837</v>
      </c>
    </row>
    <row r="63" spans="2:14" x14ac:dyDescent="0.15">
      <c r="C63" s="18">
        <v>15750</v>
      </c>
      <c r="D63" s="19">
        <v>1</v>
      </c>
      <c r="E63" s="19">
        <v>92.5</v>
      </c>
      <c r="F63" s="20">
        <f t="shared" si="22"/>
        <v>0.3694828286782233</v>
      </c>
      <c r="G63" s="21">
        <f t="shared" si="18"/>
        <v>-7.3964174618386003E-2</v>
      </c>
      <c r="H63" s="21">
        <f t="shared" si="19"/>
        <v>0.926035825381614</v>
      </c>
      <c r="I63" s="22">
        <f t="shared" si="23"/>
        <v>5.2924328189526835E-5</v>
      </c>
      <c r="J63" s="23">
        <f t="shared" si="20"/>
        <v>-3.5986407405954881</v>
      </c>
      <c r="K63" s="23">
        <f t="shared" si="21"/>
        <v>-3.5986407405954881</v>
      </c>
      <c r="L63" s="24">
        <f t="shared" si="24"/>
        <v>10.031859873091348</v>
      </c>
      <c r="M63" s="24">
        <f t="shared" si="25"/>
        <v>0.51388172387058872</v>
      </c>
      <c r="N63" s="23">
        <f t="shared" si="26"/>
        <v>-0.49586368712240314</v>
      </c>
    </row>
    <row r="64" spans="2:14" x14ac:dyDescent="0.15">
      <c r="C64" s="18">
        <v>16000</v>
      </c>
      <c r="D64" s="19">
        <v>1</v>
      </c>
      <c r="E64" s="19">
        <v>107.5</v>
      </c>
      <c r="F64" s="20">
        <f t="shared" si="22"/>
        <v>0.35957384762437866</v>
      </c>
      <c r="G64" s="21">
        <f t="shared" si="18"/>
        <v>-8.5908389436653076E-2</v>
      </c>
      <c r="H64" s="21">
        <f t="shared" si="19"/>
        <v>0.91409161056334687</v>
      </c>
      <c r="I64" s="22">
        <f t="shared" si="23"/>
        <v>6.0902847284902572E-5</v>
      </c>
      <c r="J64" s="23">
        <f t="shared" si="20"/>
        <v>-3.9220074139522443</v>
      </c>
      <c r="K64" s="23">
        <f t="shared" si="21"/>
        <v>-3.9220074139522443</v>
      </c>
      <c r="L64" s="24">
        <f t="shared" si="24"/>
        <v>11.234598019460989</v>
      </c>
      <c r="M64" s="24">
        <f t="shared" si="25"/>
        <v>0.52567385537655631</v>
      </c>
      <c r="N64" s="23">
        <f t="shared" si="26"/>
        <v>-0.53712560937852816</v>
      </c>
    </row>
    <row r="65" spans="3:14" x14ac:dyDescent="0.15">
      <c r="C65" s="18">
        <v>16250</v>
      </c>
      <c r="D65" s="19">
        <v>1</v>
      </c>
      <c r="E65" s="19">
        <v>127.5</v>
      </c>
      <c r="F65" s="20">
        <f t="shared" si="22"/>
        <v>0.35172272942932742</v>
      </c>
      <c r="G65" s="21">
        <f t="shared" si="18"/>
        <v>-0.10087960212702475</v>
      </c>
      <c r="H65" s="21">
        <f t="shared" si="19"/>
        <v>0.89912039787297526</v>
      </c>
      <c r="I65" s="22">
        <f t="shared" si="23"/>
        <v>7.0110271427143597E-5</v>
      </c>
      <c r="J65" s="23">
        <f t="shared" si="20"/>
        <v>-4.3199342482315775</v>
      </c>
      <c r="K65" s="23">
        <f t="shared" si="21"/>
        <v>-4.3199342482315775</v>
      </c>
      <c r="L65" s="24">
        <f t="shared" si="24"/>
        <v>12.650681640330502</v>
      </c>
      <c r="M65" s="24">
        <f t="shared" si="25"/>
        <v>0.52546776482435653</v>
      </c>
      <c r="N65" s="23">
        <f t="shared" si="26"/>
        <v>-0.57469883120624454</v>
      </c>
    </row>
    <row r="66" spans="3:14" x14ac:dyDescent="0.15">
      <c r="C66" s="18">
        <v>16500</v>
      </c>
      <c r="D66" s="19">
        <v>1</v>
      </c>
      <c r="E66" s="19">
        <v>149.61538461538461</v>
      </c>
      <c r="F66" s="20">
        <f t="shared" si="22"/>
        <v>0.34295641808373933</v>
      </c>
      <c r="G66" s="21">
        <f t="shared" si="18"/>
        <v>-0.11754748812969253</v>
      </c>
      <c r="H66" s="21">
        <f t="shared" si="19"/>
        <v>0.88245251187030749</v>
      </c>
      <c r="I66" s="22">
        <f t="shared" si="23"/>
        <v>8.0256073455851223E-5</v>
      </c>
      <c r="J66" s="23">
        <f t="shared" si="20"/>
        <v>-4.7016510807401959</v>
      </c>
      <c r="K66" s="23">
        <f t="shared" si="21"/>
        <v>-4.7016510807401959</v>
      </c>
      <c r="L66" s="24">
        <f t="shared" si="24"/>
        <v>14.120454838608573</v>
      </c>
      <c r="M66" s="24">
        <f t="shared" si="25"/>
        <v>0.5174635440973071</v>
      </c>
      <c r="N66" s="23">
        <f t="shared" si="26"/>
        <v>-0.60847111035725909</v>
      </c>
    </row>
    <row r="67" spans="3:14" x14ac:dyDescent="0.15">
      <c r="C67" s="18">
        <v>16750</v>
      </c>
      <c r="D67" s="19">
        <v>1</v>
      </c>
      <c r="E67" s="19">
        <v>171.61290322580646</v>
      </c>
      <c r="F67" s="20">
        <f t="shared" si="22"/>
        <v>0.33178121331885502</v>
      </c>
      <c r="G67" s="21">
        <f t="shared" si="18"/>
        <v>-0.13514466482651438</v>
      </c>
      <c r="H67" s="21">
        <f t="shared" si="19"/>
        <v>0.86485533517348567</v>
      </c>
      <c r="I67" s="22">
        <f t="shared" si="23"/>
        <v>9.1431950653169045E-5</v>
      </c>
      <c r="J67" s="23">
        <f t="shared" si="20"/>
        <v>-5.0129824728332695</v>
      </c>
      <c r="K67" s="23">
        <f t="shared" si="21"/>
        <v>-5.0129824728332695</v>
      </c>
      <c r="L67" s="24">
        <f t="shared" si="24"/>
        <v>15.562580820560388</v>
      </c>
      <c r="M67" s="24">
        <f t="shared" si="25"/>
        <v>0.50559725597812666</v>
      </c>
      <c r="N67" s="23">
        <f t="shared" si="26"/>
        <v>-0.64032562739011534</v>
      </c>
    </row>
    <row r="68" spans="3:14" x14ac:dyDescent="0.15">
      <c r="C68" s="18">
        <v>17000</v>
      </c>
      <c r="D68" s="19">
        <v>1</v>
      </c>
      <c r="E68" s="19">
        <v>202.4390243902439</v>
      </c>
      <c r="F68" s="20">
        <f t="shared" si="22"/>
        <v>0.3237365093537562</v>
      </c>
      <c r="G68" s="21">
        <f t="shared" si="18"/>
        <v>-0.15747224635322518</v>
      </c>
      <c r="H68" s="21">
        <f t="shared" si="19"/>
        <v>0.84252775364677479</v>
      </c>
      <c r="I68" s="22">
        <f t="shared" si="23"/>
        <v>1.0384162825506609E-4</v>
      </c>
      <c r="J68" s="23">
        <f t="shared" si="20"/>
        <v>-5.4206262951333963</v>
      </c>
      <c r="K68" s="23">
        <f t="shared" si="21"/>
        <v>-5.4206262951333963</v>
      </c>
      <c r="L68" s="24">
        <f t="shared" si="24"/>
        <v>17.24626331189117</v>
      </c>
      <c r="M68" s="24">
        <f t="shared" si="25"/>
        <v>0.47286080325960445</v>
      </c>
      <c r="N68" s="23">
        <f t="shared" si="26"/>
        <v>-0.65696778620232466</v>
      </c>
    </row>
    <row r="69" spans="3:14" x14ac:dyDescent="0.15">
      <c r="C69" s="18">
        <v>17250</v>
      </c>
      <c r="D69" s="19">
        <v>1</v>
      </c>
      <c r="E69" s="19">
        <v>237.5</v>
      </c>
      <c r="F69" s="20">
        <f t="shared" si="22"/>
        <v>0.31523256323266974</v>
      </c>
      <c r="G69" s="21">
        <f t="shared" si="18"/>
        <v>-0.18260492055496685</v>
      </c>
      <c r="H69" s="21">
        <f t="shared" si="19"/>
        <v>0.81739507944503309</v>
      </c>
      <c r="I69" s="22">
        <f t="shared" si="23"/>
        <v>1.1726662303891207E-4</v>
      </c>
      <c r="J69" s="23">
        <f t="shared" si="20"/>
        <v>-5.804050524638579</v>
      </c>
      <c r="K69" s="23">
        <f t="shared" si="21"/>
        <v>-5.804050524638579</v>
      </c>
      <c r="L69" s="24">
        <f t="shared" si="24"/>
        <v>18.964322654589818</v>
      </c>
      <c r="M69" s="24">
        <f t="shared" si="25"/>
        <v>0.42874683729714513</v>
      </c>
      <c r="N69" s="23">
        <f t="shared" si="26"/>
        <v>-0.66108151993425934</v>
      </c>
    </row>
    <row r="70" spans="3:14" x14ac:dyDescent="0.15">
      <c r="C70" s="18">
        <v>17500</v>
      </c>
      <c r="D70" s="19">
        <v>1</v>
      </c>
      <c r="E70" s="19">
        <v>277.46913580246911</v>
      </c>
      <c r="F70" s="20">
        <f t="shared" si="22"/>
        <v>0.30634667837830382</v>
      </c>
      <c r="G70" s="21">
        <f t="shared" si="18"/>
        <v>-0.21089495308874182</v>
      </c>
      <c r="H70" s="21">
        <f t="shared" si="19"/>
        <v>0.78910504691125816</v>
      </c>
      <c r="I70" s="22">
        <f t="shared" si="23"/>
        <v>1.3167429308153823E-4</v>
      </c>
      <c r="J70" s="23">
        <f t="shared" si="20"/>
        <v>-6.1549136698213234</v>
      </c>
      <c r="K70" s="23">
        <f t="shared" si="21"/>
        <v>-6.1549136698213234</v>
      </c>
      <c r="L70" s="24">
        <f t="shared" si="24"/>
        <v>20.694074809217668</v>
      </c>
      <c r="M70" s="24">
        <f t="shared" si="25"/>
        <v>0.37347865542147696</v>
      </c>
      <c r="N70" s="23">
        <f t="shared" si="26"/>
        <v>-0.64909984249264219</v>
      </c>
    </row>
    <row r="71" spans="3:14" x14ac:dyDescent="0.15">
      <c r="C71" s="18">
        <v>17750</v>
      </c>
      <c r="D71" s="19">
        <v>1</v>
      </c>
      <c r="E71" s="19">
        <v>330.94059405940595</v>
      </c>
      <c r="F71" s="20">
        <f t="shared" si="22"/>
        <v>0.30062011504109359</v>
      </c>
      <c r="G71" s="21">
        <f t="shared" si="18"/>
        <v>-0.24483448023638951</v>
      </c>
      <c r="H71" s="21">
        <f t="shared" si="19"/>
        <v>0.75516551976361046</v>
      </c>
      <c r="I71" s="22">
        <f t="shared" si="23"/>
        <v>1.4594589143821388E-4</v>
      </c>
      <c r="J71" s="23">
        <f t="shared" si="20"/>
        <v>-6.5693524955888902</v>
      </c>
      <c r="K71" s="23">
        <f t="shared" si="21"/>
        <v>-6.5693524955888902</v>
      </c>
      <c r="L71" s="24">
        <f t="shared" si="24"/>
        <v>22.508251217759039</v>
      </c>
      <c r="M71" s="24">
        <f t="shared" si="25"/>
        <v>0.29892445958748809</v>
      </c>
      <c r="N71" s="23">
        <f t="shared" si="26"/>
        <v>-0.6041170156407466</v>
      </c>
    </row>
    <row r="72" spans="3:14" x14ac:dyDescent="0.15">
      <c r="C72" s="18">
        <v>18000</v>
      </c>
      <c r="D72" s="19">
        <v>1</v>
      </c>
      <c r="E72" s="19">
        <v>392.5</v>
      </c>
      <c r="F72" s="20">
        <f t="shared" si="22"/>
        <v>0.29476273919414786</v>
      </c>
      <c r="G72" s="21">
        <f t="shared" si="18"/>
        <v>-0.28230033839569973</v>
      </c>
      <c r="H72" s="21">
        <f t="shared" si="19"/>
        <v>0.71769966160430032</v>
      </c>
      <c r="I72" s="22">
        <f t="shared" si="23"/>
        <v>1.600744364425426E-4</v>
      </c>
      <c r="J72" s="23">
        <f t="shared" si="20"/>
        <v>-6.9272644581722203</v>
      </c>
      <c r="K72" s="23">
        <f t="shared" si="21"/>
        <v>-6.9272644581722203</v>
      </c>
      <c r="L72" s="24">
        <f t="shared" si="24"/>
        <v>24.206188378571852</v>
      </c>
      <c r="M72" s="24">
        <f t="shared" si="25"/>
        <v>0.22010292108751822</v>
      </c>
      <c r="N72" s="23">
        <f t="shared" si="26"/>
        <v>-0.53348390216683861</v>
      </c>
    </row>
    <row r="73" spans="3:14" x14ac:dyDescent="0.15">
      <c r="C73" s="18">
        <v>18250</v>
      </c>
      <c r="D73" s="19">
        <v>1</v>
      </c>
      <c r="E73" s="19">
        <v>462.5</v>
      </c>
      <c r="F73" s="20">
        <f t="shared" si="22"/>
        <v>0.28858956452256584</v>
      </c>
      <c r="G73" s="21">
        <f t="shared" si="18"/>
        <v>-0.32320430856437488</v>
      </c>
      <c r="H73" s="21">
        <f t="shared" si="19"/>
        <v>0.67679569143562512</v>
      </c>
      <c r="I73" s="22">
        <f t="shared" si="23"/>
        <v>1.7372532192902912E-4</v>
      </c>
      <c r="J73" s="23">
        <f t="shared" si="20"/>
        <v>-7.206410372820093</v>
      </c>
      <c r="K73" s="23">
        <f t="shared" si="21"/>
        <v>-7.206410372820093</v>
      </c>
      <c r="L73" s="24">
        <f t="shared" si="24"/>
        <v>25.720274037921062</v>
      </c>
      <c r="M73" s="24">
        <f t="shared" si="25"/>
        <v>0.14324719028046146</v>
      </c>
      <c r="N73" s="23">
        <f t="shared" si="26"/>
        <v>-0.43595068685400901</v>
      </c>
    </row>
    <row r="74" spans="3:14" x14ac:dyDescent="0.15">
      <c r="C74" s="18">
        <v>18500</v>
      </c>
      <c r="D74" s="19">
        <v>1</v>
      </c>
      <c r="E74" s="19">
        <v>545</v>
      </c>
      <c r="F74" s="20">
        <f t="shared" si="22"/>
        <v>0.28331892449263846</v>
      </c>
      <c r="G74" s="21">
        <f t="shared" si="18"/>
        <v>-0.36788988040577369</v>
      </c>
      <c r="H74" s="21">
        <f t="shared" si="19"/>
        <v>0.63211011959422625</v>
      </c>
      <c r="I74" s="22">
        <f t="shared" si="23"/>
        <v>1.8571279935365568E-4</v>
      </c>
      <c r="J74" s="23">
        <f t="shared" si="20"/>
        <v>-7.4248489734157612</v>
      </c>
      <c r="K74" s="23">
        <f t="shared" si="21"/>
        <v>-7.4248489734157612</v>
      </c>
      <c r="L74" s="24">
        <f t="shared" si="24"/>
        <v>26.992882513278573</v>
      </c>
      <c r="M74" s="24">
        <f t="shared" si="25"/>
        <v>7.4274369028558856E-2</v>
      </c>
      <c r="N74" s="23">
        <f t="shared" si="26"/>
        <v>-0.30730308773354836</v>
      </c>
    </row>
    <row r="75" spans="3:14" x14ac:dyDescent="0.15">
      <c r="C75" s="18">
        <v>18750</v>
      </c>
      <c r="D75" s="19">
        <v>935</v>
      </c>
      <c r="E75" s="19">
        <v>640</v>
      </c>
      <c r="F75" s="20">
        <f t="shared" si="22"/>
        <v>0.27854033235502762</v>
      </c>
      <c r="G75" s="21">
        <f t="shared" si="18"/>
        <v>-0.41561177609094624</v>
      </c>
      <c r="H75" s="21">
        <f t="shared" si="19"/>
        <v>0.58438822390905376</v>
      </c>
      <c r="I75" s="22">
        <f t="shared" si="23"/>
        <v>1.9547536190929319E-4</v>
      </c>
      <c r="J75" s="23">
        <f t="shared" si="20"/>
        <v>-7.5537537628525406</v>
      </c>
      <c r="K75" s="23">
        <f t="shared" si="21"/>
        <v>-7.5537537628525406</v>
      </c>
      <c r="L75" s="24">
        <f t="shared" si="24"/>
        <v>27.932638372173901</v>
      </c>
      <c r="M75" s="24">
        <f t="shared" si="25"/>
        <v>2.3191285706109521E-2</v>
      </c>
      <c r="N75" s="23">
        <f t="shared" si="26"/>
        <v>-0.1519178823440365</v>
      </c>
    </row>
    <row r="76" spans="3:14" x14ac:dyDescent="0.15">
      <c r="C76" s="18">
        <v>19000</v>
      </c>
      <c r="D76" s="19">
        <v>790.14705882352939</v>
      </c>
      <c r="E76" s="19">
        <v>750</v>
      </c>
      <c r="F76" s="20">
        <f t="shared" si="22"/>
        <v>0.27484734479476775</v>
      </c>
      <c r="G76" s="21">
        <f t="shared" si="18"/>
        <v>-0.46561206105038105</v>
      </c>
      <c r="H76" s="21">
        <f t="shared" si="19"/>
        <v>0.534387938949619</v>
      </c>
      <c r="I76" s="22">
        <f t="shared" si="23"/>
        <v>2.0189947017017044E-4</v>
      </c>
      <c r="J76" s="23">
        <f t="shared" si="20"/>
        <v>-7.5964885849686539</v>
      </c>
      <c r="K76" s="23">
        <f t="shared" si="21"/>
        <v>-7.5964885849686539</v>
      </c>
      <c r="L76" s="24">
        <f t="shared" si="24"/>
        <v>28.468105625543835</v>
      </c>
      <c r="M76" s="24">
        <f t="shared" si="25"/>
        <v>-1.5139103931376824E-3</v>
      </c>
      <c r="N76" s="23">
        <f t="shared" si="26"/>
        <v>2.4490639706314175E-2</v>
      </c>
    </row>
    <row r="77" spans="3:14" x14ac:dyDescent="0.15">
      <c r="C77" s="18">
        <v>19250</v>
      </c>
      <c r="D77" s="19">
        <v>670</v>
      </c>
      <c r="E77" s="19">
        <v>874.95098039215691</v>
      </c>
      <c r="F77" s="20">
        <f t="shared" si="22"/>
        <v>0.26393288336430731</v>
      </c>
      <c r="G77" s="21">
        <f t="shared" si="18"/>
        <v>-0.5184107622770322</v>
      </c>
      <c r="H77" s="21">
        <f t="shared" si="19"/>
        <v>0.48158923772296774</v>
      </c>
      <c r="I77" s="22">
        <f t="shared" si="23"/>
        <v>2.1080837120850736E-4</v>
      </c>
      <c r="J77" s="23">
        <f t="shared" si="20"/>
        <v>-7.314244538836852</v>
      </c>
      <c r="K77" s="23">
        <f t="shared" si="21"/>
        <v>-7.314244538836852</v>
      </c>
      <c r="L77" s="24">
        <f t="shared" si="24"/>
        <v>28.543892594857947</v>
      </c>
      <c r="M77" s="24">
        <f t="shared" si="25"/>
        <v>7.2546477201048233E-3</v>
      </c>
      <c r="N77" s="23">
        <f t="shared" si="26"/>
        <v>0.21939969997681882</v>
      </c>
    </row>
    <row r="78" spans="3:14" x14ac:dyDescent="0.15">
      <c r="C78" s="18">
        <v>19500</v>
      </c>
      <c r="D78" s="19">
        <v>560</v>
      </c>
      <c r="E78" s="19">
        <v>1015</v>
      </c>
      <c r="F78" s="20">
        <f t="shared" si="22"/>
        <v>0.26186104835288476</v>
      </c>
      <c r="G78" s="21">
        <f t="shared" si="18"/>
        <v>-0.5708326117230127</v>
      </c>
      <c r="H78" s="21">
        <f t="shared" si="19"/>
        <v>0.4291673882769873</v>
      </c>
      <c r="I78" s="22">
        <f t="shared" si="23"/>
        <v>2.0934128277108315E-4</v>
      </c>
      <c r="J78" s="23">
        <f t="shared" si="20"/>
        <v>-7.1497573737749693</v>
      </c>
      <c r="K78" s="23">
        <f t="shared" si="21"/>
        <v>-7.1497573737749693</v>
      </c>
      <c r="L78" s="24">
        <f t="shared" si="24"/>
        <v>28.122739679343727</v>
      </c>
      <c r="M78" s="24">
        <f t="shared" si="25"/>
        <v>5.3072054651840561E-2</v>
      </c>
      <c r="N78" s="23">
        <f t="shared" si="26"/>
        <v>0.4151217937294866</v>
      </c>
    </row>
    <row r="79" spans="3:14" x14ac:dyDescent="0.15">
      <c r="C79" s="18">
        <v>19750</v>
      </c>
      <c r="D79" s="19">
        <v>461.980198019802</v>
      </c>
      <c r="E79" s="19">
        <v>1</v>
      </c>
      <c r="F79" s="20">
        <f t="shared" si="22"/>
        <v>0.25949958430981523</v>
      </c>
      <c r="G79" s="21">
        <f t="shared" si="18"/>
        <v>-0.62236556430605472</v>
      </c>
      <c r="H79" s="21">
        <f t="shared" si="19"/>
        <v>0.37763443569394523</v>
      </c>
      <c r="I79" s="22">
        <f t="shared" si="23"/>
        <v>2.0446085147562818E-4</v>
      </c>
      <c r="J79" s="23">
        <f t="shared" si="20"/>
        <v>-6.8576942288771319</v>
      </c>
      <c r="K79" s="23">
        <f t="shared" si="21"/>
        <v>-6.8576942288771319</v>
      </c>
      <c r="L79" s="24">
        <f t="shared" si="24"/>
        <v>27.219407979129784</v>
      </c>
      <c r="M79" s="24">
        <f t="shared" si="25"/>
        <v>0.13377881817594248</v>
      </c>
      <c r="N79" s="23">
        <f t="shared" si="26"/>
        <v>0.59921823800274565</v>
      </c>
    </row>
    <row r="80" spans="3:14" x14ac:dyDescent="0.15">
      <c r="C80" s="18">
        <v>20000</v>
      </c>
      <c r="D80" s="19">
        <v>381.38297872340428</v>
      </c>
      <c r="E80" s="19">
        <v>1</v>
      </c>
      <c r="F80" s="20">
        <f t="shared" si="22"/>
        <v>0.25906904511329132</v>
      </c>
      <c r="G80" s="21">
        <f t="shared" si="18"/>
        <v>-0.67062514346174762</v>
      </c>
      <c r="H80" s="21">
        <f t="shared" si="19"/>
        <v>0.32937485653825238</v>
      </c>
      <c r="I80" s="22">
        <f t="shared" si="23"/>
        <v>1.9501810147881635E-4</v>
      </c>
      <c r="J80" s="23">
        <f t="shared" si="20"/>
        <v>-6.5192943746289869</v>
      </c>
      <c r="K80" s="23">
        <f t="shared" si="21"/>
        <v>-6.5192943746289869</v>
      </c>
      <c r="L80" s="24">
        <f t="shared" si="24"/>
        <v>25.919241733150447</v>
      </c>
      <c r="M80" s="24">
        <f t="shared" si="25"/>
        <v>0.23813683108509953</v>
      </c>
      <c r="N80" s="23">
        <f t="shared" si="26"/>
        <v>0.75282173861440582</v>
      </c>
    </row>
    <row r="81" spans="3:14" x14ac:dyDescent="0.15">
      <c r="C81" s="18">
        <v>20250</v>
      </c>
      <c r="D81" s="19">
        <v>311.38297872340428</v>
      </c>
      <c r="E81" s="19">
        <v>1</v>
      </c>
      <c r="F81" s="20">
        <f t="shared" si="22"/>
        <v>0.2583918304078226</v>
      </c>
      <c r="G81" s="21">
        <f t="shared" si="18"/>
        <v>-0.71601432698639633</v>
      </c>
      <c r="H81" s="21">
        <f t="shared" si="19"/>
        <v>0.28398567301360361</v>
      </c>
      <c r="I81" s="22">
        <f t="shared" si="23"/>
        <v>1.8312858523112068E-4</v>
      </c>
      <c r="J81" s="23">
        <f t="shared" si="20"/>
        <v>-6.0898741229997562</v>
      </c>
      <c r="K81" s="23">
        <f t="shared" si="21"/>
        <v>-6.0898741229997562</v>
      </c>
      <c r="L81" s="24">
        <f t="shared" si="24"/>
        <v>24.275420537830801</v>
      </c>
      <c r="M81" s="24">
        <f t="shared" si="25"/>
        <v>0.3584244645080738</v>
      </c>
      <c r="N81" s="23">
        <f t="shared" si="26"/>
        <v>0.87632249362411685</v>
      </c>
    </row>
    <row r="82" spans="3:14" x14ac:dyDescent="0.15">
      <c r="C82" s="18">
        <v>20500</v>
      </c>
      <c r="D82" s="19">
        <v>253.96039603960395</v>
      </c>
      <c r="E82" s="19">
        <v>1</v>
      </c>
      <c r="F82" s="20">
        <f t="shared" si="22"/>
        <v>0.25869484141980131</v>
      </c>
      <c r="G82" s="21">
        <f t="shared" si="18"/>
        <v>-0.75695152045657665</v>
      </c>
      <c r="H82" s="21">
        <f t="shared" si="19"/>
        <v>0.24304847954342335</v>
      </c>
      <c r="I82" s="22">
        <f t="shared" si="23"/>
        <v>1.6892992024826004E-4</v>
      </c>
      <c r="J82" s="23">
        <f t="shared" si="20"/>
        <v>-5.6308859761957324</v>
      </c>
      <c r="K82" s="23">
        <f t="shared" si="21"/>
        <v>-5.6308859761957324</v>
      </c>
      <c r="L82" s="24">
        <f t="shared" si="24"/>
        <v>22.419513754701679</v>
      </c>
      <c r="M82" s="24">
        <f t="shared" si="25"/>
        <v>0.47911078180797806</v>
      </c>
      <c r="N82" s="23">
        <f t="shared" si="26"/>
        <v>0.96035173617173863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boubo</dc:creator>
  <cp:lastModifiedBy>村上洋一</cp:lastModifiedBy>
  <dcterms:created xsi:type="dcterms:W3CDTF">2008-09-17T13:18:20Z</dcterms:created>
  <dcterms:modified xsi:type="dcterms:W3CDTF">2019-06-11T03:11:38Z</dcterms:modified>
</cp:coreProperties>
</file>