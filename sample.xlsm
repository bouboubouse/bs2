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HG2\UserGal1\高次ギリシャ\bs2\"/>
    </mc:Choice>
  </mc:AlternateContent>
  <bookViews>
    <workbookView xWindow="-15" yWindow="11475" windowWidth="15720" windowHeight="11535"/>
  </bookViews>
  <sheets>
    <sheet name="sample" sheetId="2" r:id="rId1"/>
  </sheets>
  <functionGroups builtInGroupCount="18"/>
  <calcPr calcId="152511" refMode="R1C1"/>
</workbook>
</file>

<file path=xl/calcChain.xml><?xml version="1.0" encoding="utf-8"?>
<calcChain xmlns="http://schemas.openxmlformats.org/spreadsheetml/2006/main">
  <c r="C8" i="2" l="1"/>
  <c r="G12" i="2"/>
  <c r="E12" i="2"/>
  <c r="G18" i="2"/>
  <c r="E17" i="2"/>
  <c r="G21" i="2"/>
  <c r="E20" i="2"/>
  <c r="C12" i="2"/>
  <c r="E24" i="2"/>
  <c r="G20" i="2"/>
  <c r="C19" i="2"/>
  <c r="C26" i="2"/>
  <c r="G24" i="2"/>
  <c r="E31" i="2"/>
  <c r="E21" i="2"/>
  <c r="E18" i="2"/>
  <c r="C22" i="2"/>
  <c r="C24" i="2"/>
  <c r="C29" i="2"/>
  <c r="C20" i="2"/>
  <c r="C28" i="2"/>
  <c r="C17" i="2"/>
  <c r="C32" i="2"/>
  <c r="C27" i="2"/>
  <c r="C31" i="2"/>
  <c r="C13" i="2"/>
  <c r="C23" i="2"/>
  <c r="C25" i="2"/>
  <c r="C18" i="2"/>
  <c r="C21" i="2"/>
  <c r="C30" i="2"/>
  <c r="C14" i="2"/>
  <c r="C16" i="2"/>
  <c r="C15" i="2"/>
  <c r="G31" i="2" l="1"/>
</calcChain>
</file>

<file path=xl/sharedStrings.xml><?xml version="1.0" encoding="utf-8"?>
<sst xmlns="http://schemas.openxmlformats.org/spreadsheetml/2006/main" count="31" uniqueCount="31">
  <si>
    <t>d1</t>
    <phoneticPr fontId="2"/>
  </si>
  <si>
    <t>d2</t>
    <phoneticPr fontId="2"/>
  </si>
  <si>
    <t>N(d1)</t>
    <phoneticPr fontId="2"/>
  </si>
  <si>
    <t>N'(d1)</t>
    <phoneticPr fontId="2"/>
  </si>
  <si>
    <t>IV</t>
    <phoneticPr fontId="2"/>
  </si>
  <si>
    <t>delta</t>
    <phoneticPr fontId="2"/>
  </si>
  <si>
    <t>gamma</t>
    <phoneticPr fontId="2"/>
  </si>
  <si>
    <t>vanna</t>
    <phoneticPr fontId="2"/>
  </si>
  <si>
    <t>charm</t>
    <phoneticPr fontId="2"/>
  </si>
  <si>
    <t>speed</t>
    <phoneticPr fontId="2"/>
  </si>
  <si>
    <t>zomma</t>
    <phoneticPr fontId="2"/>
  </si>
  <si>
    <t>color</t>
    <phoneticPr fontId="2"/>
  </si>
  <si>
    <t>dual gamma</t>
    <phoneticPr fontId="2"/>
  </si>
  <si>
    <t>dual delta</t>
    <phoneticPr fontId="2"/>
  </si>
  <si>
    <t>vega/100</t>
    <phoneticPr fontId="2"/>
  </si>
  <si>
    <t>theta/365</t>
    <phoneticPr fontId="2"/>
  </si>
  <si>
    <t>rho/100</t>
    <phoneticPr fontId="2"/>
  </si>
  <si>
    <t>DvegaDtime/100/365</t>
    <phoneticPr fontId="2"/>
  </si>
  <si>
    <t>vomma/100</t>
    <phoneticPr fontId="2"/>
  </si>
  <si>
    <t>ultima/100</t>
    <phoneticPr fontId="2"/>
  </si>
  <si>
    <t>s</t>
    <phoneticPr fontId="2"/>
  </si>
  <si>
    <t>k</t>
    <phoneticPr fontId="2"/>
  </si>
  <si>
    <t>q</t>
    <phoneticPr fontId="2"/>
  </si>
  <si>
    <t>t/365</t>
    <phoneticPr fontId="2"/>
  </si>
  <si>
    <t>premium</t>
    <phoneticPr fontId="2"/>
  </si>
  <si>
    <t>r</t>
    <phoneticPr fontId="2"/>
  </si>
  <si>
    <t>OTM</t>
    <phoneticPr fontId="2"/>
  </si>
  <si>
    <t>input</t>
    <phoneticPr fontId="2"/>
  </si>
  <si>
    <t>output</t>
    <phoneticPr fontId="2"/>
  </si>
  <si>
    <t>PUT</t>
    <phoneticPr fontId="2"/>
  </si>
  <si>
    <t>CALL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</si>
</sst>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¥&quot;#,##0_);[Red]\(&quot;¥&quot;#,##0\)"/>
    <numFmt numFmtId="177" formatCode="0.0000_ ;[Red]\-0.0000\ "/>
    <numFmt numFmtId="178" formatCode="0.00000000_ ;[Red]\-0.00000000\ "/>
  </numFmts>
  <fonts count="26" x14ac:knownFonts="1">
    <font>
      <sz val="10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HG丸ｺﾞｼｯｸM-PRO"/>
      <family val="3"/>
      <charset val="128"/>
    </font>
    <font>
      <sz val="11"/>
      <color indexed="9"/>
      <name val="HG丸ｺﾞｼｯｸM-PRO"/>
      <family val="3"/>
      <charset val="128"/>
    </font>
    <font>
      <b/>
      <sz val="18"/>
      <color indexed="56"/>
      <name val="HG丸ｺﾞｼｯｸM-PRO"/>
      <family val="3"/>
      <charset val="128"/>
    </font>
    <font>
      <b/>
      <sz val="11"/>
      <color indexed="9"/>
      <name val="HG丸ｺﾞｼｯｸM-PRO"/>
      <family val="3"/>
      <charset val="128"/>
    </font>
    <font>
      <sz val="11"/>
      <color indexed="60"/>
      <name val="HG丸ｺﾞｼｯｸM-PRO"/>
      <family val="3"/>
      <charset val="128"/>
    </font>
    <font>
      <sz val="11"/>
      <name val="ＭＳ Ｐゴシック"/>
      <family val="3"/>
      <charset val="128"/>
    </font>
    <font>
      <sz val="11"/>
      <color indexed="52"/>
      <name val="HG丸ｺﾞｼｯｸM-PRO"/>
      <family val="3"/>
      <charset val="128"/>
    </font>
    <font>
      <sz val="11"/>
      <color indexed="20"/>
      <name val="HG丸ｺﾞｼｯｸM-PRO"/>
      <family val="3"/>
      <charset val="128"/>
    </font>
    <font>
      <b/>
      <sz val="11"/>
      <color indexed="52"/>
      <name val="HG丸ｺﾞｼｯｸM-PRO"/>
      <family val="3"/>
      <charset val="128"/>
    </font>
    <font>
      <sz val="11"/>
      <color indexed="10"/>
      <name val="HG丸ｺﾞｼｯｸM-PRO"/>
      <family val="3"/>
      <charset val="128"/>
    </font>
    <font>
      <b/>
      <sz val="15"/>
      <color indexed="56"/>
      <name val="HG丸ｺﾞｼｯｸM-PRO"/>
      <family val="3"/>
      <charset val="128"/>
    </font>
    <font>
      <b/>
      <sz val="13"/>
      <color indexed="56"/>
      <name val="HG丸ｺﾞｼｯｸM-PRO"/>
      <family val="3"/>
      <charset val="128"/>
    </font>
    <font>
      <b/>
      <sz val="11"/>
      <color indexed="56"/>
      <name val="HG丸ｺﾞｼｯｸM-PRO"/>
      <family val="3"/>
      <charset val="128"/>
    </font>
    <font>
      <b/>
      <sz val="11"/>
      <color indexed="8"/>
      <name val="HG丸ｺﾞｼｯｸM-PRO"/>
      <family val="3"/>
      <charset val="128"/>
    </font>
    <font>
      <b/>
      <sz val="11"/>
      <color indexed="63"/>
      <name val="HG丸ｺﾞｼｯｸM-PRO"/>
      <family val="3"/>
      <charset val="128"/>
    </font>
    <font>
      <i/>
      <sz val="11"/>
      <color indexed="23"/>
      <name val="HG丸ｺﾞｼｯｸM-PRO"/>
      <family val="3"/>
      <charset val="128"/>
    </font>
    <font>
      <sz val="11"/>
      <color indexed="62"/>
      <name val="HG丸ｺﾞｼｯｸM-PRO"/>
      <family val="3"/>
      <charset val="128"/>
    </font>
    <font>
      <sz val="9"/>
      <color indexed="8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17"/>
      <name val="HG丸ｺﾞｼｯｸM-PRO"/>
      <family val="3"/>
      <charset val="128"/>
    </font>
    <font>
      <sz val="11"/>
      <color theme="8"/>
      <name val="ＭＳ Ｐゴシック"/>
      <family val="3"/>
      <charset val="128"/>
    </font>
    <font>
      <sz val="10"/>
      <color theme="8"/>
      <name val="ＭＳ Ｐゴシック"/>
      <family val="3"/>
      <charset val="128"/>
    </font>
    <font>
      <sz val="10"/>
      <color theme="0" tint="-0.499984740745262"/>
      <name val="ＭＳ Ｐゴシック"/>
      <family val="3"/>
      <charset val="128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</fills>
  <borders count="11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8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0" fontId="8" fillId="22" borderId="2" applyNumberFormat="0" applyFon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23" borderId="4" applyNumberForma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23" borderId="9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176" fontId="8" fillId="0" borderId="0" applyFont="0" applyFill="0" applyBorder="0" applyAlignment="0" applyProtection="0"/>
    <xf numFmtId="0" fontId="19" fillId="7" borderId="4" applyNumberFormat="0" applyAlignment="0" applyProtection="0">
      <alignment vertical="center"/>
    </xf>
    <xf numFmtId="0" fontId="2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/>
    <xf numFmtId="0" fontId="22" fillId="4" borderId="0" applyNumberFormat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0" xfId="0" applyBorder="1" applyAlignment="1">
      <alignment horizontal="right" vertical="center"/>
    </xf>
    <xf numFmtId="177" fontId="24" fillId="0" borderId="10" xfId="0" applyNumberFormat="1" applyFont="1" applyFill="1" applyBorder="1" applyAlignment="1">
      <alignment horizontal="right" vertical="center"/>
    </xf>
    <xf numFmtId="177" fontId="23" fillId="0" borderId="10" xfId="28" applyNumberFormat="1" applyFont="1" applyFill="1" applyBorder="1" applyAlignment="1">
      <alignment horizontal="right"/>
    </xf>
    <xf numFmtId="177" fontId="23" fillId="0" borderId="10" xfId="0" applyNumberFormat="1" applyFont="1" applyFill="1" applyBorder="1" applyAlignment="1">
      <alignment horizontal="right" vertical="center"/>
    </xf>
    <xf numFmtId="177" fontId="23" fillId="0" borderId="10" xfId="56" applyNumberFormat="1" applyFont="1" applyFill="1" applyBorder="1" applyAlignment="1">
      <alignment horizontal="right"/>
    </xf>
    <xf numFmtId="178" fontId="25" fillId="0" borderId="10" xfId="0" applyNumberFormat="1" applyFont="1" applyFill="1" applyBorder="1" applyAlignment="1">
      <alignment horizontal="right" vertical="center"/>
    </xf>
    <xf numFmtId="0" fontId="25" fillId="0" borderId="10" xfId="0" applyFont="1" applyBorder="1" applyAlignment="1">
      <alignment horizontal="right" vertical="center"/>
    </xf>
    <xf numFmtId="0" fontId="24" fillId="0" borderId="10" xfId="0" applyFont="1" applyBorder="1" applyAlignment="1">
      <alignment horizontal="right" vertical="center"/>
    </xf>
  </cellXfs>
  <cellStyles count="58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パーセント" xfId="28" builtinId="5"/>
    <cellStyle name="パーセント 2" xfId="29"/>
    <cellStyle name="メモ" xfId="30" builtinId="10" customBuiltin="1"/>
    <cellStyle name="リンク セル" xfId="31" builtinId="24" customBuiltin="1"/>
    <cellStyle name="悪い" xfId="32" builtinId="27" customBuiltin="1"/>
    <cellStyle name="計算" xfId="33" builtinId="22" customBuiltin="1"/>
    <cellStyle name="警告文" xfId="34" builtinId="11" customBuiltin="1"/>
    <cellStyle name="見出し 1" xfId="35" builtinId="16" customBuiltin="1"/>
    <cellStyle name="見出し 2" xfId="36" builtinId="17" customBuiltin="1"/>
    <cellStyle name="見出し 3" xfId="37" builtinId="18" customBuiltin="1"/>
    <cellStyle name="見出し 4" xfId="38" builtinId="19" customBuiltin="1"/>
    <cellStyle name="集計" xfId="39" builtinId="25" customBuiltin="1"/>
    <cellStyle name="出力" xfId="40" builtinId="21" customBuiltin="1"/>
    <cellStyle name="説明文" xfId="41" builtinId="53" customBuiltin="1"/>
    <cellStyle name="通貨 2" xfId="42"/>
    <cellStyle name="入力" xfId="43" builtinId="20" customBuiltin="1"/>
    <cellStyle name="標準" xfId="0" builtinId="0"/>
    <cellStyle name="標準 2" xfId="44"/>
    <cellStyle name="標準 3" xfId="45"/>
    <cellStyle name="標準 3 2" xfId="46"/>
    <cellStyle name="標準 3 2 2" xfId="47"/>
    <cellStyle name="標準 3 3" xfId="48"/>
    <cellStyle name="標準 3_設定" xfId="49"/>
    <cellStyle name="標準 4" xfId="50"/>
    <cellStyle name="標準 5" xfId="51"/>
    <cellStyle name="標準 6" xfId="52"/>
    <cellStyle name="標準 7" xfId="53"/>
    <cellStyle name="標準 8" xfId="54"/>
    <cellStyle name="標準 8 2" xfId="55"/>
    <cellStyle name="標準_Sheet1" xfId="56"/>
    <cellStyle name="良い" xfId="57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32"/>
  <sheetViews>
    <sheetView tabSelected="1" workbookViewId="0"/>
  </sheetViews>
  <sheetFormatPr defaultRowHeight="12" x14ac:dyDescent="0.15"/>
  <cols>
    <col min="1" max="1" width="5.7109375" style="1" customWidth="1"/>
    <col min="2" max="2" width="24.28515625" style="7" customWidth="1"/>
    <col min="3" max="7" width="15.7109375" style="1" customWidth="1"/>
    <col min="8" max="10" width="10.7109375" style="1" customWidth="1"/>
    <col min="11" max="16384" width="9.140625" style="1"/>
  </cols>
  <sheetData>
    <row r="1" spans="2:7" x14ac:dyDescent="0.15">
      <c r="C1" s="8" t="s">
        <v>27</v>
      </c>
    </row>
    <row r="2" spans="2:7" x14ac:dyDescent="0.15">
      <c r="C2" s="7" t="s">
        <v>28</v>
      </c>
    </row>
    <row r="4" spans="2:7" x14ac:dyDescent="0.15">
      <c r="B4" s="7" t="s">
        <v>20</v>
      </c>
      <c r="C4" s="2">
        <v>8654.3079096045203</v>
      </c>
    </row>
    <row r="5" spans="2:7" x14ac:dyDescent="0.15">
      <c r="B5" s="7" t="s">
        <v>21</v>
      </c>
      <c r="C5" s="2">
        <v>8500</v>
      </c>
    </row>
    <row r="6" spans="2:7" ht="13.5" x14ac:dyDescent="0.15">
      <c r="B6" s="7" t="s">
        <v>25</v>
      </c>
      <c r="C6" s="3">
        <v>5.0000000000000001E-3</v>
      </c>
    </row>
    <row r="7" spans="2:7" ht="13.5" x14ac:dyDescent="0.15">
      <c r="B7" s="7" t="s">
        <v>22</v>
      </c>
      <c r="C7" s="4">
        <v>0</v>
      </c>
    </row>
    <row r="8" spans="2:7" x14ac:dyDescent="0.15">
      <c r="B8" s="7" t="s">
        <v>23</v>
      </c>
      <c r="C8" s="2">
        <f>24/365</f>
        <v>6.575342465753424E-2</v>
      </c>
    </row>
    <row r="10" spans="2:7" ht="13.5" x14ac:dyDescent="0.15">
      <c r="B10" s="7" t="s">
        <v>29</v>
      </c>
      <c r="C10" s="2">
        <v>115.13448607108549</v>
      </c>
      <c r="D10" s="7" t="s">
        <v>30</v>
      </c>
      <c r="E10" s="5">
        <v>270.10869565217394</v>
      </c>
      <c r="G10" s="7" t="s">
        <v>26</v>
      </c>
    </row>
    <row r="12" spans="2:7" x14ac:dyDescent="0.15">
      <c r="B12" s="7" t="s">
        <v>4</v>
      </c>
      <c r="C12" s="6">
        <f>bs2_ivolat_put($C$4, $C$5, $C$6, $C$7, $C$8, $C$10)</f>
        <v>0.20869672982439971</v>
      </c>
      <c r="E12" s="6">
        <f>bs2_ivolat_call($C$4, $C$5, $C$6, $C$7, $C$8, $E$10)</f>
        <v>0.20612206709564301</v>
      </c>
      <c r="G12" s="6">
        <f>bs2_ivolat($C$4, $C$5, $C$6, $C$7, $C$8, $E$10, $C$10)</f>
        <v>0.20869672982439971</v>
      </c>
    </row>
    <row r="13" spans="2:7" x14ac:dyDescent="0.15">
      <c r="B13" s="7" t="s">
        <v>0</v>
      </c>
      <c r="C13" s="6">
        <f>bs2_d1($C$4, $C$5, $C$6, $C$7, $C$8, $C$12)</f>
        <v>0.36908865838143651</v>
      </c>
    </row>
    <row r="14" spans="2:7" x14ac:dyDescent="0.15">
      <c r="B14" s="7" t="s">
        <v>1</v>
      </c>
      <c r="C14" s="6">
        <f>bs2_d2($C$13, $C$8,$C$12)</f>
        <v>0.31557374429211144</v>
      </c>
    </row>
    <row r="15" spans="2:7" x14ac:dyDescent="0.15">
      <c r="B15" s="7" t="s">
        <v>2</v>
      </c>
      <c r="C15" s="6">
        <f>bs2_NORM_sDIST($C$13)</f>
        <v>0.64396912301495002</v>
      </c>
    </row>
    <row r="16" spans="2:7" x14ac:dyDescent="0.15">
      <c r="B16" s="7" t="s">
        <v>3</v>
      </c>
      <c r="C16" s="6">
        <f>bs2_norm_DIST($C$13)</f>
        <v>0.3726738077206927</v>
      </c>
    </row>
    <row r="17" spans="2:7" x14ac:dyDescent="0.15">
      <c r="B17" s="7" t="s">
        <v>24</v>
      </c>
      <c r="C17" s="6">
        <f>bs2_prem_put($C$4, $C$5, $C$6, $C$7, $C$8, $C$12)</f>
        <v>115.13448607108714</v>
      </c>
      <c r="E17" s="6">
        <f>bs2_prem_call($C$4, $C$5, $C$6, $C$7, $C$8, $E$12)</f>
        <v>270.10869565217365</v>
      </c>
    </row>
    <row r="18" spans="2:7" x14ac:dyDescent="0.15">
      <c r="B18" s="7" t="s">
        <v>5</v>
      </c>
      <c r="C18" s="6">
        <f>bs2_delta_put($C$4, $C$5, $C$6, $C$7, $C$8, $C$12)</f>
        <v>-0.3559138449770145</v>
      </c>
      <c r="E18" s="6">
        <f>bs2_delta_call($C$4, $C$5, $C$6, $C$7, $C$8, $E$12)</f>
        <v>0.64522643546331893</v>
      </c>
      <c r="G18" s="6">
        <f>bs2_delta($C$4, $C$5, $C$6, $C$7, $C$8, $G$12)</f>
        <v>-0.3559138449770145</v>
      </c>
    </row>
    <row r="19" spans="2:7" x14ac:dyDescent="0.15">
      <c r="B19" s="7" t="s">
        <v>14</v>
      </c>
      <c r="C19" s="6">
        <f>bs2_vega($C$4, $C$5, $C$6, $C$7, $C$8, $C$12)/100</f>
        <v>8.2702835952879923</v>
      </c>
    </row>
    <row r="20" spans="2:7" x14ac:dyDescent="0.15">
      <c r="B20" s="7" t="s">
        <v>15</v>
      </c>
      <c r="C20" s="6">
        <f>bs2_theta_put($C$4, $C$5, $C$6, $C$7, $C$8, $C$12)/365</f>
        <v>-3.552008628514931</v>
      </c>
      <c r="E20" s="6">
        <f>bs2_theta_call($C$4, $C$5, $C$6, $C$7, $C$8, $E$12)/365</f>
        <v>-3.6190550918404907</v>
      </c>
      <c r="G20" s="6">
        <f>bs2_theta($C$4, $C$5, $C$6, $C$7, $C$8, $G$12)/365</f>
        <v>-3.552008628514931</v>
      </c>
    </row>
    <row r="21" spans="2:7" x14ac:dyDescent="0.15">
      <c r="B21" s="7" t="s">
        <v>16</v>
      </c>
      <c r="C21" s="6">
        <f>bs2_rho_put($C$4, $C$5, $C$6, $C$7, $C$8, $C$12)/100</f>
        <v>-2.1016999369816363</v>
      </c>
      <c r="E21" s="6">
        <f>bs2_rho_call($C$4, $C$5, $C$6, $C$7, $C$8, $E$12)/100</f>
        <v>3.4952651058601765</v>
      </c>
      <c r="G21" s="6">
        <f>bs2_rho($C$4, $C$5, $C$6, $C$7, $C$8, $G$12)/100</f>
        <v>-2.1016999369816363</v>
      </c>
    </row>
    <row r="22" spans="2:7" x14ac:dyDescent="0.15">
      <c r="B22" s="7" t="s">
        <v>6</v>
      </c>
      <c r="C22" s="6">
        <f>bs2_gamma($C$4, $C$5, $C$6, $C$7, $C$8, $C$12)</f>
        <v>8.0467719870905893E-4</v>
      </c>
    </row>
    <row r="23" spans="2:7" x14ac:dyDescent="0.15">
      <c r="B23" s="7" t="s">
        <v>7</v>
      </c>
      <c r="C23" s="6">
        <f>bs2_vanna($C$4, $C$5, $C$6, $C$7, $C$8, $C$12)</f>
        <v>-0.5635261702517943</v>
      </c>
    </row>
    <row r="24" spans="2:7" x14ac:dyDescent="0.15">
      <c r="B24" s="7" t="s">
        <v>8</v>
      </c>
      <c r="C24" s="6">
        <f>bs2_charm_put($C$4, $C$5, $C$6, $C$7, $C$8, $C$12)</f>
        <v>0.85947652771509286</v>
      </c>
      <c r="E24" s="6">
        <f>bs2_charm_call($C$4, $C$5, $C$6, $C$7, $C$8, $E$12)</f>
        <v>0.87081886491419214</v>
      </c>
      <c r="G24" s="6">
        <f>bs2_charm($C$4, $C$5, $C$6, $C$7, $C$8, $G$12)</f>
        <v>0.85947652771509286</v>
      </c>
    </row>
    <row r="25" spans="2:7" x14ac:dyDescent="0.15">
      <c r="B25" s="7" t="s">
        <v>9</v>
      </c>
      <c r="C25" s="6">
        <f>bs2_speed($C$4, $C$5, $C$6, $C$7, $C$8, $C$12)</f>
        <v>-7.3425630425639677E-7</v>
      </c>
    </row>
    <row r="26" spans="2:7" x14ac:dyDescent="0.15">
      <c r="B26" s="7" t="s">
        <v>10</v>
      </c>
      <c r="C26" s="6">
        <f>bs2_zomma($C$4, $C$5, $C$6, $C$7, $C$8, $C$12)</f>
        <v>-3.406630626733226E-3</v>
      </c>
    </row>
    <row r="27" spans="2:7" x14ac:dyDescent="0.15">
      <c r="B27" s="7" t="s">
        <v>11</v>
      </c>
      <c r="C27" s="6">
        <f>bs2_color($C$4, $C$5, $C$6, $C$7, $C$8, $C$12)</f>
        <v>-5.4339516210558745E-3</v>
      </c>
    </row>
    <row r="28" spans="2:7" x14ac:dyDescent="0.15">
      <c r="B28" s="7" t="s">
        <v>17</v>
      </c>
      <c r="C28" s="6">
        <f>bs2_DvegaDtime($C$4, $C$5, $C$6, $C$7, $C$8, $C$12)/100/365</f>
        <v>-0.19158451748842686</v>
      </c>
    </row>
    <row r="29" spans="2:7" x14ac:dyDescent="0.15">
      <c r="B29" s="7" t="s">
        <v>18</v>
      </c>
      <c r="C29" s="6">
        <f>bs2_vomma($C$4, $C$5, $C$6, $C$7, $C$8, $C$12)/100</f>
        <v>4.6156866854910312</v>
      </c>
    </row>
    <row r="30" spans="2:7" x14ac:dyDescent="0.15">
      <c r="B30" s="7" t="s">
        <v>19</v>
      </c>
      <c r="C30" s="6">
        <f>bs2_ultima($C$4, $C$5, $C$6, $C$7, $C$8, $C$12)/100</f>
        <v>-64.317915107307002</v>
      </c>
    </row>
    <row r="31" spans="2:7" x14ac:dyDescent="0.15">
      <c r="B31" s="7" t="s">
        <v>13</v>
      </c>
      <c r="C31" s="6">
        <f>bs2_dualdelta_put($C$4, $C$5, $C$6, $C$7, $C$8, $C$12)</f>
        <v>0.37603944950896928</v>
      </c>
      <c r="E31" s="6">
        <f>bs2_dualdelta_call($C$4, $C$5, $C$6, $C$7, $C$8, $E$12)</f>
        <v>-0.62537831550929635</v>
      </c>
      <c r="G31" s="6">
        <f>bs2_dualdelta($C$4, $C$5, $C$6, $C$7, $C$8, $G$12)</f>
        <v>0.37603944950896928</v>
      </c>
    </row>
    <row r="32" spans="2:7" x14ac:dyDescent="0.15">
      <c r="B32" s="7" t="s">
        <v>12</v>
      </c>
      <c r="C32" s="6">
        <f>bs2_dualgamma($C$4, $C$5, $C$6, $C$7, $C$8, $C$12)</f>
        <v>8.3415840386747374E-4</v>
      </c>
    </row>
  </sheetData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sample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村上洋一</cp:lastModifiedBy>
  <dcterms:created xsi:type="dcterms:W3CDTF">2012-06-21T08:52:54Z</dcterms:created>
  <dcterms:modified xsi:type="dcterms:W3CDTF">2019-06-11T02:11:51Z</dcterms:modified>
</cp:coreProperties>
</file>